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Данные" sheetId="1" r:id="rId5"/>
    <sheet state="visible" name="Общий капитал" sheetId="2" r:id="rId6"/>
    <sheet state="visible" name="Капитал по типам" sheetId="3" r:id="rId7"/>
    <sheet state="visible" name="Dashboards" sheetId="4" r:id="rId8"/>
    <sheet state="visible" name="Calculating" sheetId="5" r:id="rId9"/>
  </sheets>
  <definedNames>
    <definedName name="Периодные_даты">'Общий капитал'!$A:$A</definedName>
    <definedName name="Сумма_за_периоды">'Общий капитал'!$B:$B</definedName>
    <definedName hidden="1" localSheetId="0" name="Z_336F4B0B_97A9_404C_90F5_4B9D7C4C9FCA_.wvu.FilterData">'Данные'!$A$1:$C$105</definedName>
    <definedName hidden="1" localSheetId="2" name="Z_336F4B0B_97A9_404C_90F5_4B9D7C4C9FCA_.wvu.FilterData">'Капитал по типам'!$A$1:$E$18</definedName>
    <definedName name="SlicerCache_Table_1_Col_1">#N/A</definedName>
    <definedName name="SlicerCache_Table_1_Col_2">#N/A</definedName>
    <definedName name="SlicerCache_Table_2_Col_1">#N/A</definedName>
  </definedNames>
  <calcPr/>
  <customWorkbookViews>
    <customWorkbookView activeSheetId="0" maximized="1" windowHeight="0" windowWidth="0" guid="{336F4B0B-97A9-404C-90F5-4B9D7C4C9FCA}" name="Фильтр 1"/>
  </customWorkbookViews>
  <pivotCaches>
    <pivotCache cacheId="0" r:id="rId10"/>
  </pivotCaches>
  <extLst>
    <ext uri="{46BE6895-7355-4a93-B00E-2C351335B9C9}">
      <x15:slicerCaches>
        <x14:slicerCache r:id="rId11"/>
        <x14:slicerCache r:id="rId12"/>
        <x14:slicerCache r:id="rId13"/>
      </x15:slicerCaches>
    </ext>
  </extLst>
</workbook>
</file>

<file path=xl/sharedStrings.xml><?xml version="1.0" encoding="utf-8"?>
<sst xmlns="http://schemas.openxmlformats.org/spreadsheetml/2006/main" count="255" uniqueCount="27">
  <si>
    <t>Категория</t>
  </si>
  <si>
    <t>Дата</t>
  </si>
  <si>
    <t>Сумма</t>
  </si>
  <si>
    <t>Тип</t>
  </si>
  <si>
    <t>А</t>
  </si>
  <si>
    <t>Актив</t>
  </si>
  <si>
    <t>Т</t>
  </si>
  <si>
    <t>Бр.счет</t>
  </si>
  <si>
    <t>Инвестиция</t>
  </si>
  <si>
    <t>Вклад</t>
  </si>
  <si>
    <t>Подушка</t>
  </si>
  <si>
    <t>Сбер</t>
  </si>
  <si>
    <t>ПИФ</t>
  </si>
  <si>
    <t>Доллары</t>
  </si>
  <si>
    <t>ББ</t>
  </si>
  <si>
    <t>Итого</t>
  </si>
  <si>
    <t>Общий капитал на последнюю дату</t>
  </si>
  <si>
    <t>Средний баланс по датам за период</t>
  </si>
  <si>
    <t>Количество точек данных (дат)</t>
  </si>
  <si>
    <t xml:space="preserve">Минимальная сумма </t>
  </si>
  <si>
    <t>Максимальная сумма</t>
  </si>
  <si>
    <t>Прирост за все время</t>
  </si>
  <si>
    <t>Рост за все время (МАЙ25 - СЕН26)</t>
  </si>
  <si>
    <t>Средний прирост за период (CAGR)</t>
  </si>
  <si>
    <t>Прогноз капитала через год</t>
  </si>
  <si>
    <t>SUM из Сумма</t>
  </si>
  <si>
    <t>Прибыль\Убыль</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</si>
</sst>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00;(#,##0.00)"/>
  </numFmts>
  <fonts count="6">
    <font>
      <sz val="10.0"/>
      <color rgb="FF000000"/>
      <name val="Arial"/>
      <scheme val="minor"/>
    </font>
    <font>
      <color theme="1"/>
      <name val="Arial"/>
    </font>
    <font>
      <color theme="1"/>
      <name val="Arial"/>
      <scheme val="minor"/>
    </font>
    <font>
      <color rgb="FF000000"/>
      <name val="Arial"/>
      <scheme val="minor"/>
    </font>
    <font>
      <b/>
      <color theme="1"/>
      <name val="Arial"/>
      <scheme val="minor"/>
    </font>
    <font>
      <sz val="11.0"/>
      <color rgb="FF333333"/>
      <name val="Consolas"/>
    </font>
  </fonts>
  <fills count="11">
    <fill>
      <patternFill patternType="none"/>
    </fill>
    <fill>
      <patternFill patternType="lightGray"/>
    </fill>
    <fill>
      <patternFill patternType="solid">
        <fgColor rgb="FFFF0000"/>
        <bgColor rgb="FFFF0000"/>
      </patternFill>
    </fill>
    <fill>
      <patternFill patternType="solid">
        <fgColor rgb="FFFFE599"/>
        <bgColor rgb="FFFFE599"/>
      </patternFill>
    </fill>
    <fill>
      <patternFill patternType="solid">
        <fgColor rgb="FF00FF00"/>
        <bgColor rgb="FF00FF00"/>
      </patternFill>
    </fill>
    <fill>
      <patternFill patternType="solid">
        <fgColor rgb="FF3D85C6"/>
        <bgColor rgb="FF3D85C6"/>
      </patternFill>
    </fill>
    <fill>
      <patternFill patternType="solid">
        <fgColor rgb="FFBF9000"/>
        <bgColor rgb="FFBF9000"/>
      </patternFill>
    </fill>
    <fill>
      <patternFill patternType="solid">
        <fgColor rgb="FF4A86E8"/>
        <bgColor rgb="FF4A86E8"/>
      </patternFill>
    </fill>
    <fill>
      <patternFill patternType="solid">
        <fgColor rgb="FFFCE5CD"/>
        <bgColor rgb="FFFCE5CD"/>
      </patternFill>
    </fill>
    <fill>
      <patternFill patternType="solid">
        <fgColor rgb="FFD9EAD3"/>
        <bgColor rgb="FFD9EAD3"/>
      </patternFill>
    </fill>
    <fill>
      <patternFill patternType="solid">
        <fgColor rgb="FFFCFCFC"/>
        <bgColor rgb="FFFCFCFC"/>
      </patternFill>
    </fill>
  </fills>
  <borders count="3">
    <border/>
    <border>
      <bottom style="thin">
        <color rgb="FF000000"/>
      </bottom>
    </border>
    <border>
      <left style="thin">
        <color rgb="FF000000"/>
      </lef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164" xfId="0" applyAlignment="1" applyFont="1" applyNumberFormat="1">
      <alignment horizontal="center" readingOrder="0" shrinkToFit="0" vertical="bottom" wrapText="0"/>
    </xf>
    <xf borderId="0" fillId="0" fontId="2" numFmtId="0" xfId="0" applyAlignment="1" applyFont="1">
      <alignment horizontal="left" readingOrder="0" shrinkToFit="0" vertical="center" wrapText="0"/>
    </xf>
    <xf borderId="0" fillId="2" fontId="1" numFmtId="49" xfId="0" applyAlignment="1" applyFill="1" applyFont="1" applyNumberFormat="1">
      <alignment shrinkToFit="0" vertical="bottom" wrapText="0"/>
    </xf>
    <xf borderId="0" fillId="0" fontId="2" numFmtId="164" xfId="0" applyAlignment="1" applyFont="1" applyNumberFormat="1">
      <alignment readingOrder="0" shrinkToFit="0" vertical="center" wrapText="0"/>
    </xf>
    <xf borderId="0" fillId="2" fontId="1" numFmtId="165" xfId="0" applyAlignment="1" applyFill="1" applyFont="1" applyNumberFormat="1">
      <alignment shrinkToFit="0" vertical="bottom" wrapText="0"/>
    </xf>
    <xf borderId="0" fillId="0" fontId="2" numFmtId="49" xfId="0" applyAlignment="1" applyFont="1" applyNumberFormat="1">
      <alignment readingOrder="0" shrinkToFit="0" vertical="center" wrapText="0"/>
    </xf>
    <xf borderId="0" fillId="3" fontId="1" numFmtId="49" xfId="0" applyAlignment="1" applyFill="1" applyFont="1" applyNumberFormat="1">
      <alignment shrinkToFit="0" vertical="bottom" wrapText="0"/>
    </xf>
    <xf borderId="0" fillId="3" fontId="1" numFmtId="165" xfId="0" applyAlignment="1" applyFill="1" applyFont="1" applyNumberFormat="1">
      <alignment shrinkToFit="0" vertical="bottom" wrapText="0"/>
    </xf>
    <xf borderId="0" fillId="4" fontId="1" numFmtId="49" xfId="0" applyAlignment="1" applyFill="1" applyFont="1" applyNumberFormat="1">
      <alignment shrinkToFit="0" vertical="bottom" wrapText="0"/>
    </xf>
    <xf borderId="0" fillId="4" fontId="1" numFmtId="165" xfId="0" applyAlignment="1" applyFill="1" applyFont="1" applyNumberFormat="1">
      <alignment shrinkToFit="0" vertical="bottom" wrapText="0"/>
    </xf>
    <xf borderId="0" fillId="5" fontId="1" numFmtId="49" xfId="0" applyAlignment="1" applyFill="1" applyFont="1" applyNumberFormat="1">
      <alignment shrinkToFit="0" vertical="bottom" wrapText="0"/>
    </xf>
    <xf borderId="0" fillId="5" fontId="1" numFmtId="165" xfId="0" applyAlignment="1" applyFill="1" applyFont="1" applyNumberFormat="1">
      <alignment shrinkToFit="0" vertical="bottom" wrapText="0"/>
    </xf>
    <xf borderId="1" fillId="6" fontId="1" numFmtId="49" xfId="0" applyAlignment="1" applyBorder="1" applyFill="1" applyFont="1" applyNumberFormat="1">
      <alignment shrinkToFit="0" vertical="bottom" wrapText="0"/>
    </xf>
    <xf borderId="1" fillId="0" fontId="2" numFmtId="164" xfId="0" applyAlignment="1" applyBorder="1" applyFont="1" applyNumberFormat="1">
      <alignment readingOrder="0" shrinkToFit="0" vertical="center" wrapText="0"/>
    </xf>
    <xf borderId="1" fillId="6" fontId="1" numFmtId="165" xfId="0" applyAlignment="1" applyBorder="1" applyFill="1" applyFont="1" applyNumberFormat="1">
      <alignment shrinkToFit="0" vertical="bottom" wrapText="0"/>
    </xf>
    <xf borderId="1" fillId="0" fontId="2" numFmtId="49" xfId="0" applyAlignment="1" applyBorder="1" applyFont="1" applyNumberFormat="1">
      <alignment readingOrder="0" shrinkToFit="0" vertical="center" wrapText="0"/>
    </xf>
    <xf borderId="0" fillId="0" fontId="2" numFmtId="0" xfId="0" applyFont="1"/>
    <xf borderId="0" fillId="7" fontId="1" numFmtId="165" xfId="0" applyAlignment="1" applyFill="1" applyFont="1" applyNumberFormat="1">
      <alignment shrinkToFit="0" vertical="bottom" wrapText="0"/>
    </xf>
    <xf borderId="0" fillId="0" fontId="1" numFmtId="164" xfId="0" applyAlignment="1" applyFont="1" applyNumberFormat="1">
      <alignment horizontal="right" readingOrder="0" shrinkToFit="0" vertical="bottom" wrapText="0"/>
    </xf>
    <xf borderId="1" fillId="0" fontId="1" numFmtId="164" xfId="0" applyAlignment="1" applyBorder="1" applyFont="1" applyNumberFormat="1">
      <alignment horizontal="right" readingOrder="0" shrinkToFit="0" vertical="bottom" wrapText="0"/>
    </xf>
    <xf borderId="0" fillId="8" fontId="2" numFmtId="0" xfId="0" applyAlignment="1" applyFill="1" applyFont="1">
      <alignment horizontal="center"/>
    </xf>
    <xf borderId="0" fillId="8" fontId="2" numFmtId="0" xfId="0" applyFill="1" applyFont="1"/>
    <xf borderId="0" fillId="8" fontId="2" numFmtId="164" xfId="0" applyAlignment="1" applyFill="1" applyFont="1" applyNumberFormat="1">
      <alignment horizontal="center"/>
    </xf>
    <xf borderId="0" fillId="8" fontId="3" numFmtId="49" xfId="0" applyAlignment="1" applyFill="1" applyFont="1" applyNumberFormat="1">
      <alignment horizontal="center"/>
    </xf>
    <xf borderId="0" fillId="8" fontId="3" numFmtId="0" xfId="0" applyAlignment="1" applyFill="1" applyFont="1">
      <alignment horizontal="center"/>
    </xf>
    <xf borderId="0" fillId="8" fontId="2" numFmtId="165" xfId="0" applyAlignment="1" applyFill="1" applyFont="1" applyNumberFormat="1">
      <alignment horizontal="center"/>
    </xf>
    <xf borderId="0" fillId="0" fontId="1" numFmtId="165" xfId="0" applyAlignment="1" applyFont="1" applyNumberFormat="1">
      <alignment horizontal="right" readingOrder="0" shrinkToFit="0" vertical="bottom" wrapText="0"/>
    </xf>
    <xf borderId="0" fillId="0" fontId="1" numFmtId="165" xfId="0" applyAlignment="1" applyFont="1" applyNumberFormat="1">
      <alignment horizontal="right" shrinkToFit="0" vertical="bottom" wrapText="0"/>
    </xf>
    <xf borderId="0" fillId="0" fontId="1" numFmtId="165" xfId="0" applyAlignment="1" applyFont="1" applyNumberFormat="1">
      <alignment readingOrder="0" shrinkToFit="0" vertical="bottom" wrapText="0"/>
    </xf>
    <xf borderId="1" fillId="0" fontId="1" numFmtId="165" xfId="0" applyAlignment="1" applyBorder="1" applyFont="1" applyNumberFormat="1">
      <alignment horizontal="right" readingOrder="0" shrinkToFit="0" vertical="bottom" wrapText="0"/>
    </xf>
    <xf borderId="0" fillId="0" fontId="1" numFmtId="164" xfId="0" applyAlignment="1" applyFont="1" applyNumberFormat="1">
      <alignment horizontal="right" readingOrder="0" shrinkToFit="0" vertical="bottom" wrapText="0"/>
    </xf>
    <xf borderId="0" fillId="2" fontId="1" numFmtId="165" xfId="0" applyAlignment="1" applyFill="1" applyFont="1" applyNumberFormat="1">
      <alignment horizontal="center" shrinkToFit="0" vertical="bottom" wrapText="0"/>
    </xf>
    <xf borderId="0" fillId="3" fontId="1" numFmtId="165" xfId="0" applyAlignment="1" applyFill="1" applyFont="1" applyNumberFormat="1">
      <alignment horizontal="center" shrinkToFit="0" vertical="bottom" wrapText="0"/>
    </xf>
    <xf borderId="0" fillId="4" fontId="1" numFmtId="165" xfId="0" applyAlignment="1" applyFill="1" applyFont="1" applyNumberFormat="1">
      <alignment horizontal="center" shrinkToFit="0" vertical="bottom" wrapText="0"/>
    </xf>
    <xf borderId="0" fillId="7" fontId="1" numFmtId="165" xfId="0" applyAlignment="1" applyFill="1" applyFont="1" applyNumberFormat="1">
      <alignment horizontal="center" shrinkToFit="0" vertical="bottom" wrapText="0"/>
    </xf>
    <xf borderId="0" fillId="6" fontId="1" numFmtId="165" xfId="0" applyAlignment="1" applyFill="1" applyFont="1" applyNumberFormat="1">
      <alignment horizontal="center" shrinkToFit="0" vertical="bottom" wrapText="0"/>
    </xf>
    <xf borderId="0" fillId="2" fontId="1" numFmtId="165" xfId="0" applyAlignment="1" applyFill="1" applyFont="1" applyNumberFormat="1">
      <alignment horizontal="center" readingOrder="0" shrinkToFit="0" vertical="bottom" wrapText="0"/>
    </xf>
    <xf borderId="0" fillId="3" fontId="1" numFmtId="165" xfId="0" applyAlignment="1" applyFill="1" applyFont="1" applyNumberFormat="1">
      <alignment horizontal="center" readingOrder="0" shrinkToFit="0" vertical="bottom" wrapText="0"/>
    </xf>
    <xf borderId="0" fillId="4" fontId="1" numFmtId="165" xfId="0" applyAlignment="1" applyFill="1" applyFont="1" applyNumberFormat="1">
      <alignment horizontal="center" readingOrder="0" shrinkToFit="0" vertical="bottom" wrapText="0"/>
    </xf>
    <xf borderId="0" fillId="6" fontId="1" numFmtId="165" xfId="0" applyAlignment="1" applyFill="1" applyFont="1" applyNumberFormat="1">
      <alignment horizontal="center" readingOrder="0" shrinkToFit="0" vertical="bottom" wrapText="0"/>
    </xf>
    <xf borderId="0" fillId="9" fontId="4" numFmtId="0" xfId="0" applyAlignment="1" applyFill="1" applyFont="1">
      <alignment horizontal="left" readingOrder="0"/>
    </xf>
    <xf borderId="2" fillId="9" fontId="4" numFmtId="0" xfId="0" applyAlignment="1" applyBorder="1" applyFill="1" applyFont="1">
      <alignment horizontal="center"/>
    </xf>
    <xf borderId="0" fillId="9" fontId="2" numFmtId="0" xfId="0" applyAlignment="1" applyFill="1" applyFont="1">
      <alignment horizontal="left"/>
    </xf>
    <xf borderId="2" fillId="9" fontId="2" numFmtId="0" xfId="0" applyAlignment="1" applyBorder="1" applyFill="1" applyFont="1">
      <alignment horizontal="center"/>
    </xf>
    <xf borderId="2" fillId="9" fontId="4" numFmtId="165" xfId="0" applyAlignment="1" applyBorder="1" applyFill="1" applyFont="1" applyNumberFormat="1">
      <alignment horizontal="center"/>
    </xf>
    <xf borderId="0" fillId="9" fontId="4" numFmtId="0" xfId="0" applyAlignment="1" applyFill="1" applyFont="1">
      <alignment horizontal="left"/>
    </xf>
    <xf borderId="2" fillId="9" fontId="4" numFmtId="4" xfId="0" applyAlignment="1" applyBorder="1" applyFill="1" applyFont="1" applyNumberFormat="1">
      <alignment horizontal="center"/>
    </xf>
    <xf borderId="2" fillId="9" fontId="4" numFmtId="10" xfId="0" applyAlignment="1" applyBorder="1" applyFill="1" applyFont="1" applyNumberFormat="1">
      <alignment horizontal="center"/>
    </xf>
    <xf borderId="0" fillId="9" fontId="2" numFmtId="0" xfId="0" applyFill="1" applyFont="1"/>
    <xf borderId="0" fillId="9" fontId="4" numFmtId="0" xfId="0" applyAlignment="1" applyFill="1" applyFont="1">
      <alignment readingOrder="0"/>
    </xf>
    <xf borderId="0" fillId="9" fontId="4" numFmtId="0" xfId="0" applyAlignment="1" applyFill="1" applyFont="1">
      <alignment horizontal="center"/>
    </xf>
    <xf borderId="0" fillId="0" fontId="2" numFmtId="164" xfId="0" applyFont="1" applyNumberFormat="1"/>
    <xf borderId="0" fillId="0" fontId="2" numFmtId="0" xfId="0" applyFont="1"/>
    <xf borderId="0" fillId="0" fontId="2" numFmtId="0" xfId="0" applyAlignment="1" applyFont="1">
      <alignment readingOrder="0"/>
    </xf>
    <xf borderId="0" fillId="0" fontId="2" numFmtId="165" xfId="0" applyFont="1" applyNumberFormat="1"/>
    <xf borderId="0" fillId="10" fontId="5" numFmtId="0" xfId="0" applyFill="1" applyFont="1"/>
    <xf borderId="0" fillId="0" fontId="2" numFmtId="4" xfId="0" applyFont="1" applyNumberFormat="1"/>
    <xf borderId="0" fillId="0" fontId="2" numFmtId="0" xfId="0" applyAlignment="1" applyFont="1">
      <alignment horizontal="left"/>
    </xf>
    <xf borderId="2" fillId="9" fontId="2" numFmtId="0" xfId="0" applyBorder="1" applyFill="1" applyFont="1"/>
    <xf borderId="2" fillId="9" fontId="4" numFmtId="0" xfId="0" applyBorder="1" applyFill="1" applyFont="1"/>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Подушка, Актив, Инвестиция</a:t>
            </a:r>
          </a:p>
        </c:rich>
      </c:tx>
      <c:overlay val="0"/>
    </c:title>
    <c:plotArea>
      <c:layout/>
      <c:lineChart>
        <c:ser>
          <c:idx val="0"/>
          <c:order val="0"/>
          <c:tx>
            <c:strRef>
              <c:f>'Капитал по типам'!$B$1:$B$2</c:f>
            </c:strRef>
          </c:tx>
          <c:spPr>
            <a:ln cmpd="sng" w="38100">
              <a:solidFill>
                <a:srgbClr val="4285F4"/>
              </a:solidFill>
            </a:ln>
          </c:spPr>
          <c:marker>
            <c:symbol val="circle"/>
            <c:size val="10"/>
            <c:spPr>
              <a:solidFill>
                <a:srgbClr val="4285F4"/>
              </a:solidFill>
              <a:ln cmpd="sng">
                <a:solidFill>
                  <a:srgbClr val="4285F4"/>
                </a:solidFill>
              </a:ln>
            </c:spPr>
          </c:marker>
          <c:cat>
            <c:strRef>
              <c:f>'Капитал по типам'!$A$3:$A$17</c:f>
            </c:strRef>
          </c:cat>
          <c:val>
            <c:numRef>
              <c:f>'Капитал по типам'!$B$3:$B$17</c:f>
              <c:numCache/>
            </c:numRef>
          </c:val>
          <c:smooth val="1"/>
        </c:ser>
        <c:ser>
          <c:idx val="1"/>
          <c:order val="1"/>
          <c:tx>
            <c:strRef>
              <c:f>'Капитал по типам'!$C$1:$C$2</c:f>
            </c:strRef>
          </c:tx>
          <c:spPr>
            <a:ln cmpd="sng" w="38100">
              <a:solidFill>
                <a:srgbClr val="EA4335"/>
              </a:solidFill>
            </a:ln>
          </c:spPr>
          <c:marker>
            <c:symbol val="circle"/>
            <c:size val="10"/>
            <c:spPr>
              <a:solidFill>
                <a:srgbClr val="EA4335"/>
              </a:solidFill>
              <a:ln cmpd="sng">
                <a:solidFill>
                  <a:srgbClr val="EA4335"/>
                </a:solidFill>
              </a:ln>
            </c:spPr>
          </c:marker>
          <c:cat>
            <c:strRef>
              <c:f>'Капитал по типам'!$A$3:$A$17</c:f>
            </c:strRef>
          </c:cat>
          <c:val>
            <c:numRef>
              <c:f>'Капитал по типам'!$C$3:$C$17</c:f>
              <c:numCache/>
            </c:numRef>
          </c:val>
          <c:smooth val="1"/>
        </c:ser>
        <c:ser>
          <c:idx val="2"/>
          <c:order val="2"/>
          <c:tx>
            <c:strRef>
              <c:f>'Капитал по типам'!$D$1:$D$2</c:f>
            </c:strRef>
          </c:tx>
          <c:spPr>
            <a:ln cmpd="sng" w="38100">
              <a:solidFill>
                <a:srgbClr val="FBBC04"/>
              </a:solidFill>
              <a:prstDash val="solid"/>
            </a:ln>
          </c:spPr>
          <c:marker>
            <c:symbol val="circle"/>
            <c:size val="10"/>
            <c:spPr>
              <a:solidFill>
                <a:srgbClr val="FBBC04"/>
              </a:solidFill>
              <a:ln cmpd="sng">
                <a:solidFill>
                  <a:srgbClr val="FBBC04"/>
                </a:solidFill>
              </a:ln>
            </c:spPr>
          </c:marker>
          <c:dPt>
            <c:idx val="9"/>
            <c:marker>
              <c:symbol val="none"/>
            </c:marker>
          </c:dPt>
          <c:cat>
            <c:strRef>
              <c:f>'Капитал по типам'!$A$3:$A$17</c:f>
            </c:strRef>
          </c:cat>
          <c:val>
            <c:numRef>
              <c:f>'Капитал по типам'!$D$3:$D$17</c:f>
              <c:numCache/>
            </c:numRef>
          </c:val>
          <c:smooth val="1"/>
        </c:ser>
        <c:axId val="1563018956"/>
        <c:axId val="882160156"/>
      </c:lineChart>
      <c:catAx>
        <c:axId val="15630189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Дата</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882160156"/>
      </c:catAx>
      <c:valAx>
        <c:axId val="8821601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1563018956"/>
        <c:majorUnit val="50000.0"/>
      </c:valAx>
    </c:plotArea>
    <c:legend>
      <c:legendPos val="r"/>
      <c:overlay val="0"/>
      <c:txPr>
        <a:bodyPr/>
        <a:lstStyle/>
        <a:p>
          <a:pPr lvl="0">
            <a:defRPr b="0">
              <a:solidFill>
                <a:srgbClr val="000000"/>
              </a:solidFill>
              <a:latin typeface="+mn-lt"/>
            </a:defRPr>
          </a:pPr>
        </a:p>
      </c:txPr>
    </c:legend>
    <c:plotVisOnly val="0"/>
  </c:chart>
  <c:spPr>
    <a:solidFill>
      <a:srgbClr val="666666"/>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1">
                <a:solidFill>
                  <a:srgbClr val="000000"/>
                </a:solidFill>
                <a:latin typeface="Georgia"/>
              </a:defRPr>
            </a:pPr>
            <a:r>
              <a:rPr b="0" i="1">
                <a:solidFill>
                  <a:srgbClr val="000000"/>
                </a:solidFill>
                <a:latin typeface="Georgia"/>
              </a:rPr>
              <a:t>5.10.2026</a:t>
            </a:r>
          </a:p>
        </c:rich>
      </c:tx>
      <c:overlay val="0"/>
    </c:title>
    <c:plotArea>
      <c:layout/>
      <c:pieChart>
        <c:varyColors val="1"/>
        <c:ser>
          <c:idx val="0"/>
          <c:order val="0"/>
          <c:tx>
            <c:strRef>
              <c:f>'Капитал по типам'!$A$3</c:f>
            </c:strRef>
          </c:tx>
          <c:dPt>
            <c:idx val="0"/>
            <c:spPr>
              <a:solidFill>
                <a:srgbClr val="4285F4"/>
              </a:solidFill>
            </c:spPr>
          </c:dPt>
          <c:dLbls>
            <c:showLegendKey val="0"/>
            <c:showVal val="0"/>
            <c:showCatName val="0"/>
            <c:showSerName val="0"/>
            <c:showPercent val="0"/>
            <c:showBubbleSize val="0"/>
            <c:showLeaderLines val="1"/>
          </c:dLbls>
          <c:cat>
            <c:strRef>
              <c:f>'Капитал по типам'!$B$2:$D$2</c:f>
            </c:strRef>
          </c:cat>
          <c:val>
            <c:numRef>
              <c:f>'Капитал по типам'!$B$3:$D$3</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000000"/>
              </a:solidFill>
              <a:latin typeface="Georgia"/>
            </a:defRPr>
          </a:pPr>
        </a:p>
      </c:txPr>
    </c:legend>
    <c:plotVisOnly val="0"/>
  </c:chart>
  <c:spPr>
    <a:solidFill>
      <a:srgbClr val="93C47D"/>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1">
                <a:solidFill>
                  <a:srgbClr val="000000"/>
                </a:solidFill>
                <a:latin typeface="Georgia"/>
              </a:defRPr>
            </a:pPr>
            <a:r>
              <a:rPr b="0" i="1">
                <a:solidFill>
                  <a:srgbClr val="000000"/>
                </a:solidFill>
                <a:latin typeface="Georgia"/>
              </a:rPr>
              <a:t>11.09.2026</a:t>
            </a:r>
          </a:p>
        </c:rich>
      </c:tx>
      <c:overlay val="0"/>
    </c:title>
    <c:plotArea>
      <c:layout/>
      <c:pieChart>
        <c:varyColors val="1"/>
        <c:ser>
          <c:idx val="0"/>
          <c:order val="0"/>
          <c:tx>
            <c:strRef>
              <c:f>'Капитал по типам'!$A$3</c:f>
            </c:strRef>
          </c:tx>
          <c:dPt>
            <c:idx val="0"/>
            <c:spPr>
              <a:solidFill>
                <a:srgbClr val="4285F4"/>
              </a:solidFill>
            </c:spPr>
          </c:dPt>
          <c:dLbls>
            <c:showLegendKey val="0"/>
            <c:showVal val="0"/>
            <c:showCatName val="0"/>
            <c:showSerName val="0"/>
            <c:showPercent val="0"/>
            <c:showBubbleSize val="0"/>
            <c:showLeaderLines val="1"/>
          </c:dLbls>
          <c:cat>
            <c:strRef>
              <c:f>'Капитал по типам'!$B$2:$D$2</c:f>
            </c:strRef>
          </c:cat>
          <c:val>
            <c:numRef>
              <c:f>'Капитал по типам'!$B$3:$D$3</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000000"/>
              </a:solidFill>
              <a:latin typeface="Georgia"/>
            </a:defRPr>
          </a:pPr>
        </a:p>
      </c:txPr>
    </c:legend>
    <c:plotVisOnly val="0"/>
  </c:chart>
  <c:spPr>
    <a:solidFill>
      <a:srgbClr val="93C47D"/>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Количество денег по типам</a:t>
            </a:r>
          </a:p>
        </c:rich>
      </c:tx>
      <c:overlay val="0"/>
    </c:title>
    <c:plotArea>
      <c:layout/>
      <c:lineChart>
        <c:ser>
          <c:idx val="0"/>
          <c:order val="0"/>
          <c:tx>
            <c:strRef>
              <c:f>'Капитал по типам'!$B$1:$B$2</c:f>
            </c:strRef>
          </c:tx>
          <c:spPr>
            <a:ln cmpd="sng" w="38100">
              <a:solidFill>
                <a:srgbClr val="4285F4"/>
              </a:solidFill>
            </a:ln>
          </c:spPr>
          <c:marker>
            <c:symbol val="circle"/>
            <c:size val="10"/>
            <c:spPr>
              <a:solidFill>
                <a:srgbClr val="4285F4"/>
              </a:solidFill>
              <a:ln cmpd="sng">
                <a:solidFill>
                  <a:srgbClr val="4285F4"/>
                </a:solidFill>
              </a:ln>
            </c:spPr>
          </c:marker>
          <c:cat>
            <c:strRef>
              <c:f>'Капитал по типам'!$A$3:$A$17</c:f>
            </c:strRef>
          </c:cat>
          <c:val>
            <c:numRef>
              <c:f>'Капитал по типам'!$B$3:$B$17</c:f>
              <c:numCache/>
            </c:numRef>
          </c:val>
          <c:smooth val="1"/>
        </c:ser>
        <c:ser>
          <c:idx val="1"/>
          <c:order val="1"/>
          <c:tx>
            <c:strRef>
              <c:f>'Капитал по типам'!$C$1:$C$2</c:f>
            </c:strRef>
          </c:tx>
          <c:spPr>
            <a:ln cmpd="sng" w="38100">
              <a:solidFill>
                <a:srgbClr val="EA4335"/>
              </a:solidFill>
            </a:ln>
          </c:spPr>
          <c:marker>
            <c:symbol val="circle"/>
            <c:size val="10"/>
            <c:spPr>
              <a:solidFill>
                <a:srgbClr val="EA4335"/>
              </a:solidFill>
              <a:ln cmpd="sng">
                <a:solidFill>
                  <a:srgbClr val="EA4335"/>
                </a:solidFill>
              </a:ln>
            </c:spPr>
          </c:marker>
          <c:cat>
            <c:strRef>
              <c:f>'Капитал по типам'!$A$3:$A$17</c:f>
            </c:strRef>
          </c:cat>
          <c:val>
            <c:numRef>
              <c:f>'Капитал по типам'!$C$3:$C$17</c:f>
              <c:numCache/>
            </c:numRef>
          </c:val>
          <c:smooth val="1"/>
        </c:ser>
        <c:ser>
          <c:idx val="2"/>
          <c:order val="2"/>
          <c:tx>
            <c:strRef>
              <c:f>'Капитал по типам'!$D$1:$D$2</c:f>
            </c:strRef>
          </c:tx>
          <c:spPr>
            <a:ln cmpd="sng" w="38100">
              <a:solidFill>
                <a:srgbClr val="FBBC04"/>
              </a:solidFill>
              <a:prstDash val="solid"/>
            </a:ln>
          </c:spPr>
          <c:marker>
            <c:symbol val="circle"/>
            <c:size val="10"/>
            <c:spPr>
              <a:solidFill>
                <a:srgbClr val="FBBC04"/>
              </a:solidFill>
              <a:ln cmpd="sng">
                <a:solidFill>
                  <a:srgbClr val="FBBC04"/>
                </a:solidFill>
              </a:ln>
            </c:spPr>
          </c:marker>
          <c:dPt>
            <c:idx val="9"/>
            <c:marker>
              <c:symbol val="none"/>
            </c:marker>
          </c:dPt>
          <c:cat>
            <c:strRef>
              <c:f>'Капитал по типам'!$A$3:$A$17</c:f>
            </c:strRef>
          </c:cat>
          <c:val>
            <c:numRef>
              <c:f>'Капитал по типам'!$D$3:$D$17</c:f>
              <c:numCache/>
            </c:numRef>
          </c:val>
          <c:smooth val="1"/>
        </c:ser>
        <c:axId val="1134253005"/>
        <c:axId val="1346780992"/>
      </c:lineChart>
      <c:catAx>
        <c:axId val="11342530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Дата</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1346780992"/>
      </c:catAx>
      <c:valAx>
        <c:axId val="1346780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1134253005"/>
        <c:majorUnit val="50000.0"/>
      </c:valAx>
    </c:plotArea>
    <c:legend>
      <c:legendPos val="r"/>
      <c:overlay val="0"/>
      <c:txPr>
        <a:bodyPr/>
        <a:lstStyle/>
        <a:p>
          <a:pPr lvl="0">
            <a:defRPr b="0">
              <a:solidFill>
                <a:srgbClr val="000000"/>
              </a:solidFill>
              <a:latin typeface="+mn-lt"/>
            </a:defRPr>
          </a:pPr>
        </a:p>
      </c:txPr>
    </c:legend>
    <c:plotVisOnly val="0"/>
  </c:chart>
  <c:spPr>
    <a:solidFill>
      <a:srgbClr val="666666"/>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1">
                <a:solidFill>
                  <a:srgbClr val="000000"/>
                </a:solidFill>
                <a:latin typeface="Georgia"/>
              </a:defRPr>
            </a:pPr>
            <a:r>
              <a:rPr b="0" i="1">
                <a:solidFill>
                  <a:srgbClr val="000000"/>
                </a:solidFill>
                <a:latin typeface="Georgia"/>
              </a:rPr>
              <a:t>11.09.2026</a:t>
            </a:r>
          </a:p>
        </c:rich>
      </c:tx>
      <c:overlay val="0"/>
    </c:title>
    <c:plotArea>
      <c:layout/>
      <c:pieChart>
        <c:varyColors val="1"/>
        <c:ser>
          <c:idx val="0"/>
          <c:order val="0"/>
          <c:tx>
            <c:strRef>
              <c:f>'Капитал по типам'!$A$3</c:f>
            </c:strRef>
          </c:tx>
          <c:dPt>
            <c:idx val="0"/>
            <c:spPr>
              <a:solidFill>
                <a:srgbClr val="4285F4"/>
              </a:solidFill>
            </c:spPr>
          </c:dPt>
          <c:dLbls>
            <c:showLegendKey val="0"/>
            <c:showVal val="0"/>
            <c:showCatName val="0"/>
            <c:showSerName val="0"/>
            <c:showPercent val="0"/>
            <c:showBubbleSize val="0"/>
            <c:showLeaderLines val="1"/>
          </c:dLbls>
          <c:cat>
            <c:strRef>
              <c:f>'Капитал по типам'!$B$2:$D$2</c:f>
            </c:strRef>
          </c:cat>
          <c:val>
            <c:numRef>
              <c:f>'Капитал по типам'!$B$3:$D$3</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000000"/>
              </a:solidFill>
              <a:latin typeface="Georgia"/>
            </a:defRPr>
          </a:pPr>
        </a:p>
      </c:txPr>
    </c:legend>
    <c:plotVisOnly val="0"/>
  </c:chart>
  <c:spPr>
    <a:solidFill>
      <a:srgbClr val="93C47D"/>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Chart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Chart6.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0</xdr:row>
      <xdr:rowOff>9525</xdr:rowOff>
    </xdr:from>
    <xdr:ext cx="10458450" cy="6457950"/>
    <xdr:pic>
      <xdr:nvPicPr>
        <xdr:cNvPr id="238447840" name="Chart2"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866775</xdr:colOff>
      <xdr:row>0</xdr:row>
      <xdr:rowOff>95250</xdr:rowOff>
    </xdr:from>
    <xdr:ext cx="3790950" cy="2857500"/>
    <mc:AlternateContent>
      <mc:Choice Requires="sle15">
        <xdr:graphicFrame>
          <xdr:nvGraphicFramePr>
            <xdr:cNvPr id="1" name="Категория_1"/>
            <xdr:cNvGraphicFramePr/>
          </xdr:nvGraphicFramePr>
          <xdr:xfrm>
            <a:off x="0" y="0"/>
            <a:ext cx="0" cy="0"/>
          </xdr:xfrm>
          <a:graphic>
            <a:graphicData uri="http://schemas.microsoft.com/office/drawing/2010/slicer">
              <x3Unk:slicer name="Категория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13</xdr:col>
      <xdr:colOff>866775</xdr:colOff>
      <xdr:row>4</xdr:row>
      <xdr:rowOff>47625</xdr:rowOff>
    </xdr:from>
    <xdr:ext cx="3790950" cy="2857500"/>
    <mc:AlternateContent>
      <mc:Choice Requires="sle15">
        <xdr:graphicFrame>
          <xdr:nvGraphicFramePr>
            <xdr:cNvPr id="2" name="Дата_2"/>
            <xdr:cNvGraphicFramePr/>
          </xdr:nvGraphicFramePr>
          <xdr:xfrm>
            <a:off x="0" y="0"/>
            <a:ext cx="0" cy="0"/>
          </xdr:xfrm>
          <a:graphic>
            <a:graphicData uri="http://schemas.microsoft.com/office/drawing/2010/slicer">
              <x3Unk:slicer name="Дата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314325</xdr:colOff>
      <xdr:row>0</xdr:row>
      <xdr:rowOff>9525</xdr:rowOff>
    </xdr:from>
    <xdr:ext cx="9067800" cy="5600700"/>
    <xdr:graphicFrame>
      <xdr:nvGraphicFramePr>
        <xdr:cNvPr id="3" name="Chart 3"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952500</xdr:colOff>
      <xdr:row>0</xdr:row>
      <xdr:rowOff>0</xdr:rowOff>
    </xdr:from>
    <xdr:ext cx="5153025" cy="3209925"/>
    <xdr:graphicFrame>
      <xdr:nvGraphicFramePr>
        <xdr:cNvPr id="5" name="Chart 5"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952500</xdr:colOff>
      <xdr:row>16</xdr:row>
      <xdr:rowOff>76200</xdr:rowOff>
    </xdr:from>
    <xdr:ext cx="2857500" cy="2857500"/>
    <mc:AlternateContent>
      <mc:Choice Requires="sle15">
        <xdr:graphicFrame>
          <xdr:nvGraphicFramePr>
            <xdr:cNvPr id="3" name="Column1_3"/>
            <xdr:cNvGraphicFramePr/>
          </xdr:nvGraphicFramePr>
          <xdr:xfrm>
            <a:off x="0" y="0"/>
            <a:ext cx="0" cy="0"/>
          </xdr:xfrm>
          <a:graphic>
            <a:graphicData uri="http://schemas.microsoft.com/office/drawing/2010/slicer">
              <x3Unk:slicer name="Column1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1343025</xdr:colOff>
      <xdr:row>17</xdr:row>
      <xdr:rowOff>180975</xdr:rowOff>
    </xdr:from>
    <xdr:ext cx="5153025" cy="320992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40</xdr:row>
      <xdr:rowOff>76200</xdr:rowOff>
    </xdr:from>
    <xdr:ext cx="10706100" cy="4943475"/>
    <xdr:graphicFrame>
      <xdr:nvGraphicFramePr>
        <xdr:cNvPr id="4" name="Chart 4"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16</xdr:row>
      <xdr:rowOff>9525</xdr:rowOff>
    </xdr:from>
    <xdr:ext cx="13611225" cy="4943475"/>
    <xdr:pic>
      <xdr:nvPicPr>
        <xdr:cNvPr id="973222398" name="Chart6"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952500</xdr:colOff>
      <xdr:row>0</xdr:row>
      <xdr:rowOff>0</xdr:rowOff>
    </xdr:from>
    <xdr:ext cx="5153025" cy="3209925"/>
    <xdr:graphicFrame>
      <xdr:nvGraphicFramePr>
        <xdr:cNvPr id="7" name="Chart 7"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113" sheet="Данные"/>
  </cacheSource>
  <cacheFields>
    <cacheField name="Категория" numFmtId="0">
      <sharedItems>
        <s v="А"/>
        <s v="Т"/>
        <s v="Бр.счет"/>
        <s v="Вклад"/>
        <s v="Сбер"/>
        <s v="ПИФ"/>
        <s v="Доллары"/>
        <s v="ББ"/>
      </sharedItems>
    </cacheField>
    <cacheField name="Дата" numFmtId="164">
      <sharedItems containsSemiMixedTypes="0" containsDate="1" containsString="0">
        <d v="2025-05-09T00:00:00Z"/>
        <d v="2025-09-17T00:00:00Z"/>
        <d v="2025-10-15T00:00:00Z"/>
        <d v="2025-11-09T00:00:00Z"/>
        <d v="2025-12-30T00:00:00Z"/>
        <d v="2026-02-22T00:00:00Z"/>
        <d v="2026-03-16T00:00:00Z"/>
        <d v="2026-04-05T00:00:00Z"/>
        <d v="2026-05-03T00:00:00Z"/>
        <d v="2026-06-25T00:00:00Z"/>
        <d v="2026-07-27T00:00:00Z"/>
        <d v="2026-08-03T00:00:00Z"/>
        <d v="2026-09-11T00:00:00Z"/>
        <d v="2026-10-20T00:00:00Z"/>
      </sharedItems>
    </cacheField>
    <cacheField name="Сумма" numFmtId="165">
      <sharedItems containsSemiMixedTypes="0" containsString="0" containsNumber="1" containsInteger="1">
        <n v="114900.0"/>
        <n v="22066.0"/>
        <n v="293593.0"/>
        <n v="257790.0"/>
        <n v="27385.0"/>
        <n v="66357.0"/>
        <n v="63827.0"/>
        <n v="16750.0"/>
        <n v="31685.0"/>
        <n v="49418.0"/>
        <n v="375100.0"/>
        <n v="152038.0"/>
        <n v="138539.0"/>
        <n v="99510.0"/>
        <n v="64325.0"/>
        <n v="10000.0"/>
        <n v="28945.0"/>
        <n v="189834.0"/>
        <n v="350590.0"/>
        <n v="0.0"/>
        <n v="167653.0"/>
        <n v="100704.0"/>
        <n v="64000.0"/>
        <n v="23291.0"/>
        <n v="20042.0"/>
        <n v="18181.0"/>
        <n v="362795.0"/>
        <n v="150000.0"/>
        <n v="172700.0"/>
        <n v="101733.0"/>
        <n v="21000.0"/>
        <n v="45244.0"/>
        <n v="53462.0"/>
        <n v="454787.0"/>
        <n v="100740.0"/>
        <n v="197130.0"/>
        <n v="103965.0"/>
        <n v="62000.0"/>
        <n v="15000.0"/>
        <n v="28800.0"/>
        <n v="30875.0"/>
        <n v="463575.0"/>
        <n v="162740.0"/>
        <n v="106660.0"/>
        <n v="8825.0"/>
        <n v="20415.0"/>
        <n v="478220.0"/>
        <n v="151250.0"/>
        <n v="223770.0"/>
        <n v="107635.0"/>
        <n v="101355.0"/>
        <n v="5870.0"/>
        <n v="458735.0"/>
        <n v="153305.0"/>
        <n v="113305.0"/>
        <n v="108820.0"/>
        <n v="60000.0"/>
        <n v="1310.0"/>
        <n v="451800.0"/>
        <n v="201700.0"/>
        <n v="72600.0"/>
        <n v="110000.0"/>
        <n v="12200.0"/>
        <n v="100.0"/>
        <n v="423000.0"/>
        <n v="203400.0"/>
        <n v="190200.0"/>
        <n v="112200.0"/>
        <n v="25000.0"/>
        <n v="21500.0"/>
        <n v="27300.0"/>
        <n v="7200.0"/>
        <n v="425000.0"/>
        <n v="205200.0"/>
        <n v="155830.0"/>
        <n v="113430.0"/>
        <n v="30000.0"/>
        <n v="28850.0"/>
        <n v="7000.0"/>
        <n v="432400.0"/>
        <n v="207022.0"/>
        <n v="135500.0"/>
        <n v="113560.0"/>
        <n v="46530.0"/>
        <n v="4150.0"/>
        <n v="438800.0"/>
        <n v="209300.0"/>
        <n v="56400.0"/>
        <n v="115400.0"/>
        <n v="55000.0"/>
        <n v="107500.0"/>
        <n v="70600.0"/>
        <n v="2240.0"/>
        <n v="445000.0"/>
        <n v="211610.0"/>
        <n v="57100.0"/>
        <n v="117000.0"/>
        <n v="112500.0"/>
      </sharedItems>
    </cacheField>
    <cacheField name="Тип" numFmtId="49">
      <sharedItems>
        <s v="Актив"/>
        <s v="Инвестиция"/>
        <s v="Подушка"/>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Общий капитал" cacheId="0" dataCaption="" rowGrandTotals="0" compact="0" compactData="0">
  <location ref="A1:B15" firstHeaderRow="0" firstDataRow="1" firstDataCol="0"/>
  <pivotFields>
    <pivotField name="Категория" compact="0" outline="0" multipleItemSelectionAllowed="1" showAll="0">
      <items>
        <item x="0"/>
        <item x="1"/>
        <item x="2"/>
        <item x="3"/>
        <item x="4"/>
        <item x="5"/>
        <item x="6"/>
        <item x="7"/>
        <item t="default"/>
      </items>
    </pivotField>
    <pivotField name="Дата" axis="axisRow" compact="0" numFmtId="164" outline="0" multipleItemSelectionAllowed="1" showAll="0" sortType="ascending">
      <items>
        <item x="0"/>
        <item x="1"/>
        <item x="2"/>
        <item x="3"/>
        <item x="4"/>
        <item x="5"/>
        <item x="6"/>
        <item x="7"/>
        <item x="8"/>
        <item x="9"/>
        <item x="10"/>
        <item x="11"/>
        <item x="12"/>
        <item x="13"/>
        <item t="default"/>
      </items>
    </pivotField>
    <pivotField name="Сумма"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Тип" compact="0" numFmtId="49" outline="0" multipleItemSelectionAllowed="1" showAll="0">
      <items>
        <item x="0"/>
        <item x="1"/>
        <item x="2"/>
        <item t="default"/>
      </items>
    </pivotField>
  </pivotFields>
  <rowFields>
    <field x="1"/>
  </rowFields>
  <dataFields>
    <dataField name="SUM of Сумма" fld="2" baseField="0"/>
  </dataFields>
</pivotTableDefinition>
</file>

<file path=xl/pivotTables/pivotTable2.xml><?xml version="1.0" encoding="utf-8"?>
<pivotTableDefinition xmlns="http://schemas.openxmlformats.org/spreadsheetml/2006/main" name="Капитал по типам" cacheId="0" dataCaption="" rowGrandTotals="0" compact="0" compactData="0">
  <location ref="A1:E16" firstHeaderRow="0" firstDataRow="1" firstDataCol="1"/>
  <pivotFields>
    <pivotField name="Категория" compact="0" outline="0" multipleItemSelectionAllowed="1" showAll="0">
      <items>
        <item x="0"/>
        <item x="1"/>
        <item x="2"/>
        <item x="3"/>
        <item x="4"/>
        <item x="5"/>
        <item x="6"/>
        <item x="7"/>
        <item t="default"/>
      </items>
    </pivotField>
    <pivotField name="Дата" axis="axisRow" compact="0" numFmtId="164" outline="0" multipleItemSelectionAllowed="1" showAll="0" sortType="descending">
      <items>
        <item x="13"/>
        <item x="12"/>
        <item x="11"/>
        <item x="10"/>
        <item x="9"/>
        <item x="8"/>
        <item x="7"/>
        <item x="6"/>
        <item x="5"/>
        <item x="4"/>
        <item x="3"/>
        <item x="2"/>
        <item x="1"/>
        <item x="0"/>
        <item t="default"/>
      </items>
    </pivotField>
    <pivotField name="Сумма"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Тип" axis="axisCol" compact="0" numFmtId="49" outline="0" multipleItemSelectionAllowed="1" showAll="0" sortType="ascending">
      <items>
        <item x="0"/>
        <item x="1"/>
        <item x="2"/>
        <item t="default"/>
      </items>
      <autoSortScope>
        <pivotArea>
          <references>
            <reference field="4294967294">
              <x v="0"/>
            </reference>
          </references>
        </pivotArea>
      </autoSortScope>
    </pivotField>
  </pivotFields>
  <rowFields>
    <field x="1"/>
  </rowFields>
  <colFields>
    <field x="3"/>
  </colFields>
  <dataFields>
    <dataField name="Дата" fld="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Категория">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Дата">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lumn1">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Категория_1" cache="SlicerCache_Table_1_Col_1" caption="Категория" rowHeight="247650"/>
  <x14:slicer name="Дата_2" cache="SlicerCache_Table_1_Col_2" caption="Дата"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3" cache="SlicerCache_Table_2_Col_1" caption="Column1" rowHeight="247650"/>
</x14:slicers>
</file>

<file path=xl/tables/table1.xml><?xml version="1.0" encoding="utf-8"?>
<table xmlns="http://schemas.openxmlformats.org/spreadsheetml/2006/main" ref="A1:C105" displayName="Table_1" name="Table_1" id="1">
  <autoFilter ref="$A$1:$C$105"/>
  <tableColumns count="3">
    <tableColumn name="Категория" id="1"/>
    <tableColumn name="Дата" id="2"/>
    <tableColumn name="Сумма" id="3"/>
  </tableColumns>
  <tableStyleInfo showColumnStripes="0" showFirstColumn="0" showLastColumn="0" showRowStripes="0"/>
</table>
</file>

<file path=xl/tables/table2.xml><?xml version="1.0" encoding="utf-8"?>
<table xmlns="http://schemas.openxmlformats.org/spreadsheetml/2006/main" headerRowCount="0" ref="A1:E18" displayName="Table_2" name="Table_2" id="2">
  <autoFilter ref="$A$1:$E$18"/>
  <tableColumns count="5">
    <tableColumn name="Column1" id="1"/>
    <tableColumn name="Column2" id="2"/>
    <tableColumn name="Column3" id="3"/>
    <tableColumn name="Column4" id="4"/>
    <tableColumn name="Column5" id="5"/>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3" width="16.75"/>
  </cols>
  <sheetData>
    <row r="1" ht="22.5" customHeight="1">
      <c r="A1" s="1" t="s">
        <v>0</v>
      </c>
      <c r="B1" s="2" t="s">
        <v>1</v>
      </c>
      <c r="C1" s="3" t="s">
        <v>2</v>
      </c>
      <c r="D1" s="3" t="s">
        <v>3</v>
      </c>
    </row>
    <row r="2" ht="22.5" customHeight="1">
      <c r="A2" s="4" t="s">
        <v>4</v>
      </c>
      <c r="B2" s="5">
        <v>45786.0</v>
      </c>
      <c r="C2" s="6">
        <v>114900.0</v>
      </c>
      <c r="D2" s="7" t="s">
        <v>5</v>
      </c>
    </row>
    <row r="3" ht="22.5" customHeight="1">
      <c r="A3" s="8" t="s">
        <v>6</v>
      </c>
      <c r="B3" s="5">
        <v>45786.0</v>
      </c>
      <c r="C3" s="9">
        <v>22066.0</v>
      </c>
      <c r="D3" s="7" t="s">
        <v>5</v>
      </c>
    </row>
    <row r="4" ht="22.5" customHeight="1">
      <c r="A4" s="8" t="s">
        <v>7</v>
      </c>
      <c r="B4" s="5">
        <v>45786.0</v>
      </c>
      <c r="C4" s="9">
        <v>293593.0</v>
      </c>
      <c r="D4" s="7" t="s">
        <v>8</v>
      </c>
    </row>
    <row r="5" ht="22.5" customHeight="1">
      <c r="A5" s="8" t="s">
        <v>9</v>
      </c>
      <c r="B5" s="5">
        <v>45786.0</v>
      </c>
      <c r="C5" s="9">
        <v>257790.0</v>
      </c>
      <c r="D5" s="7" t="s">
        <v>10</v>
      </c>
    </row>
    <row r="6" ht="22.5" customHeight="1">
      <c r="A6" s="10" t="s">
        <v>11</v>
      </c>
      <c r="B6" s="5">
        <v>45786.0</v>
      </c>
      <c r="C6" s="11">
        <v>27385.0</v>
      </c>
      <c r="D6" s="7" t="s">
        <v>5</v>
      </c>
    </row>
    <row r="7" ht="22.5" customHeight="1">
      <c r="A7" s="10" t="s">
        <v>12</v>
      </c>
      <c r="B7" s="5">
        <v>45786.0</v>
      </c>
      <c r="C7" s="11">
        <v>66357.0</v>
      </c>
      <c r="D7" s="7" t="s">
        <v>8</v>
      </c>
    </row>
    <row r="8" ht="22.5" customHeight="1">
      <c r="A8" s="12" t="s">
        <v>13</v>
      </c>
      <c r="B8" s="5">
        <v>45786.0</v>
      </c>
      <c r="C8" s="13">
        <f>769*83</f>
        <v>63827</v>
      </c>
      <c r="D8" s="7" t="s">
        <v>8</v>
      </c>
    </row>
    <row r="9" ht="22.5" customHeight="1">
      <c r="A9" s="14" t="s">
        <v>14</v>
      </c>
      <c r="B9" s="15">
        <v>45786.0</v>
      </c>
      <c r="C9" s="16">
        <v>16750.0</v>
      </c>
      <c r="D9" s="17" t="s">
        <v>5</v>
      </c>
    </row>
    <row r="10" ht="22.5" customHeight="1">
      <c r="A10" s="4" t="s">
        <v>4</v>
      </c>
      <c r="B10" s="5">
        <v>45917.0</v>
      </c>
      <c r="C10" s="6">
        <v>31685.0</v>
      </c>
      <c r="D10" s="7" t="s">
        <v>5</v>
      </c>
    </row>
    <row r="11" ht="22.5" customHeight="1">
      <c r="A11" s="8" t="s">
        <v>6</v>
      </c>
      <c r="B11" s="5">
        <v>45917.0</v>
      </c>
      <c r="C11" s="9">
        <v>49418.0</v>
      </c>
      <c r="D11" s="7" t="s">
        <v>5</v>
      </c>
    </row>
    <row r="12" ht="22.5" customHeight="1">
      <c r="A12" s="8" t="s">
        <v>7</v>
      </c>
      <c r="B12" s="5">
        <v>45917.0</v>
      </c>
      <c r="C12" s="9">
        <v>375100.0</v>
      </c>
      <c r="D12" s="7" t="s">
        <v>8</v>
      </c>
    </row>
    <row r="13" ht="22.5" customHeight="1">
      <c r="A13" s="8" t="s">
        <v>9</v>
      </c>
      <c r="B13" s="5">
        <v>45917.0</v>
      </c>
      <c r="C13" s="9">
        <v>152038.0</v>
      </c>
      <c r="D13" s="7" t="s">
        <v>10</v>
      </c>
      <c r="E13" s="18"/>
      <c r="F13" s="18"/>
      <c r="G13" s="18"/>
      <c r="H13" s="18"/>
      <c r="I13" s="18"/>
      <c r="J13" s="18"/>
      <c r="K13" s="18"/>
    </row>
    <row r="14" ht="22.5" customHeight="1">
      <c r="A14" s="10" t="s">
        <v>11</v>
      </c>
      <c r="B14" s="5">
        <v>45917.0</v>
      </c>
      <c r="C14" s="11">
        <v>138539.0</v>
      </c>
      <c r="D14" s="7" t="s">
        <v>5</v>
      </c>
      <c r="E14" s="18"/>
      <c r="F14" s="18"/>
      <c r="G14" s="18"/>
      <c r="H14" s="18"/>
      <c r="I14" s="18"/>
      <c r="J14" s="18"/>
      <c r="K14" s="18"/>
    </row>
    <row r="15" ht="22.5" customHeight="1">
      <c r="A15" s="10" t="s">
        <v>12</v>
      </c>
      <c r="B15" s="5">
        <v>45917.0</v>
      </c>
      <c r="C15" s="11">
        <v>99510.0</v>
      </c>
      <c r="D15" s="7" t="s">
        <v>8</v>
      </c>
      <c r="E15" s="18"/>
      <c r="F15" s="18"/>
      <c r="G15" s="18"/>
      <c r="H15" s="18"/>
      <c r="I15" s="18"/>
      <c r="J15" s="18"/>
      <c r="K15" s="18"/>
    </row>
    <row r="16" ht="22.5" customHeight="1">
      <c r="A16" s="12" t="s">
        <v>13</v>
      </c>
      <c r="B16" s="5">
        <v>45917.0</v>
      </c>
      <c r="C16" s="19">
        <f>775*83</f>
        <v>64325</v>
      </c>
      <c r="D16" s="7" t="s">
        <v>8</v>
      </c>
      <c r="E16" s="18"/>
      <c r="F16" s="18"/>
      <c r="G16" s="18"/>
      <c r="H16" s="18"/>
      <c r="I16" s="18"/>
      <c r="J16" s="18"/>
      <c r="K16" s="18"/>
    </row>
    <row r="17" ht="22.5" customHeight="1">
      <c r="A17" s="14" t="s">
        <v>14</v>
      </c>
      <c r="B17" s="15">
        <v>45917.0</v>
      </c>
      <c r="C17" s="16">
        <v>10000.0</v>
      </c>
      <c r="D17" s="17" t="s">
        <v>5</v>
      </c>
      <c r="E17" s="18"/>
      <c r="F17" s="18"/>
      <c r="G17" s="18"/>
      <c r="H17" s="18"/>
      <c r="I17" s="18"/>
      <c r="J17" s="18"/>
      <c r="K17" s="18"/>
    </row>
    <row r="18" ht="22.5" customHeight="1">
      <c r="A18" s="4" t="s">
        <v>4</v>
      </c>
      <c r="B18" s="20">
        <v>45945.0</v>
      </c>
      <c r="C18" s="6">
        <v>28945.0</v>
      </c>
      <c r="D18" s="7" t="s">
        <v>5</v>
      </c>
    </row>
    <row r="19" ht="22.5" customHeight="1">
      <c r="A19" s="8" t="s">
        <v>6</v>
      </c>
      <c r="B19" s="20">
        <v>45945.0</v>
      </c>
      <c r="C19" s="9">
        <v>189834.0</v>
      </c>
      <c r="D19" s="7" t="s">
        <v>5</v>
      </c>
    </row>
    <row r="20" ht="22.5" customHeight="1">
      <c r="A20" s="8" t="s">
        <v>7</v>
      </c>
      <c r="B20" s="20">
        <v>45945.0</v>
      </c>
      <c r="C20" s="9">
        <v>350590.0</v>
      </c>
      <c r="D20" s="7" t="s">
        <v>8</v>
      </c>
    </row>
    <row r="21" ht="22.5" customHeight="1">
      <c r="A21" s="8" t="s">
        <v>9</v>
      </c>
      <c r="B21" s="20">
        <v>45945.0</v>
      </c>
      <c r="C21" s="9">
        <v>0.0</v>
      </c>
      <c r="D21" s="7" t="s">
        <v>10</v>
      </c>
    </row>
    <row r="22" ht="22.5" customHeight="1">
      <c r="A22" s="10" t="s">
        <v>11</v>
      </c>
      <c r="B22" s="20">
        <v>45945.0</v>
      </c>
      <c r="C22" s="11">
        <v>167653.0</v>
      </c>
      <c r="D22" s="7" t="s">
        <v>5</v>
      </c>
    </row>
    <row r="23" ht="22.5" customHeight="1">
      <c r="A23" s="10" t="s">
        <v>12</v>
      </c>
      <c r="B23" s="20">
        <v>45945.0</v>
      </c>
      <c r="C23" s="11">
        <v>100704.0</v>
      </c>
      <c r="D23" s="7" t="s">
        <v>8</v>
      </c>
    </row>
    <row r="24" ht="22.5" customHeight="1">
      <c r="A24" s="12" t="s">
        <v>13</v>
      </c>
      <c r="B24" s="20">
        <v>45945.0</v>
      </c>
      <c r="C24" s="19">
        <v>64000.0</v>
      </c>
      <c r="D24" s="7" t="s">
        <v>8</v>
      </c>
    </row>
    <row r="25" ht="22.5" customHeight="1">
      <c r="A25" s="14" t="s">
        <v>14</v>
      </c>
      <c r="B25" s="21">
        <v>45945.0</v>
      </c>
      <c r="C25" s="16">
        <v>23291.0</v>
      </c>
      <c r="D25" s="17" t="s">
        <v>5</v>
      </c>
    </row>
    <row r="26" ht="22.5" customHeight="1">
      <c r="A26" s="4" t="s">
        <v>4</v>
      </c>
      <c r="B26" s="20">
        <v>45970.0</v>
      </c>
      <c r="C26" s="6">
        <v>20042.0</v>
      </c>
      <c r="D26" s="7" t="s">
        <v>5</v>
      </c>
    </row>
    <row r="27" ht="22.5" customHeight="1">
      <c r="A27" s="8" t="s">
        <v>6</v>
      </c>
      <c r="B27" s="20">
        <v>45970.0</v>
      </c>
      <c r="C27" s="9">
        <f>168181-150000</f>
        <v>18181</v>
      </c>
      <c r="D27" s="7" t="s">
        <v>5</v>
      </c>
    </row>
    <row r="28" ht="22.5" customHeight="1">
      <c r="A28" s="8" t="s">
        <v>7</v>
      </c>
      <c r="B28" s="20">
        <v>45970.0</v>
      </c>
      <c r="C28" s="9">
        <v>362795.0</v>
      </c>
      <c r="D28" s="7" t="s">
        <v>8</v>
      </c>
    </row>
    <row r="29" ht="22.5" customHeight="1">
      <c r="A29" s="8" t="s">
        <v>9</v>
      </c>
      <c r="B29" s="20">
        <v>45970.0</v>
      </c>
      <c r="C29" s="9">
        <v>150000.0</v>
      </c>
      <c r="D29" s="7" t="s">
        <v>10</v>
      </c>
    </row>
    <row r="30" ht="22.5" customHeight="1">
      <c r="A30" s="10" t="s">
        <v>11</v>
      </c>
      <c r="B30" s="20">
        <v>45970.0</v>
      </c>
      <c r="C30" s="11">
        <v>172700.0</v>
      </c>
      <c r="D30" s="7" t="s">
        <v>5</v>
      </c>
    </row>
    <row r="31" ht="22.5" customHeight="1">
      <c r="A31" s="10" t="s">
        <v>12</v>
      </c>
      <c r="B31" s="20">
        <v>45970.0</v>
      </c>
      <c r="C31" s="11">
        <v>101733.0</v>
      </c>
      <c r="D31" s="7" t="s">
        <v>8</v>
      </c>
    </row>
    <row r="32" ht="22.5" customHeight="1">
      <c r="A32" s="12" t="s">
        <v>13</v>
      </c>
      <c r="B32" s="20">
        <v>45970.0</v>
      </c>
      <c r="C32" s="19">
        <v>64000.0</v>
      </c>
      <c r="D32" s="7" t="s">
        <v>8</v>
      </c>
    </row>
    <row r="33" ht="22.5" customHeight="1">
      <c r="A33" s="14" t="s">
        <v>14</v>
      </c>
      <c r="B33" s="21">
        <v>45970.0</v>
      </c>
      <c r="C33" s="16">
        <v>21000.0</v>
      </c>
      <c r="D33" s="17" t="s">
        <v>5</v>
      </c>
    </row>
    <row r="34" ht="22.5" customHeight="1">
      <c r="A34" s="4" t="s">
        <v>4</v>
      </c>
      <c r="B34" s="20">
        <v>46021.0</v>
      </c>
      <c r="C34" s="6">
        <v>45244.0</v>
      </c>
      <c r="D34" s="7" t="s">
        <v>5</v>
      </c>
    </row>
    <row r="35" ht="22.5" customHeight="1">
      <c r="A35" s="8" t="s">
        <v>6</v>
      </c>
      <c r="B35" s="20">
        <v>46021.0</v>
      </c>
      <c r="C35" s="9">
        <v>53462.0</v>
      </c>
      <c r="D35" s="7" t="s">
        <v>5</v>
      </c>
    </row>
    <row r="36" ht="22.5" customHeight="1">
      <c r="A36" s="8" t="s">
        <v>7</v>
      </c>
      <c r="B36" s="20">
        <v>46021.0</v>
      </c>
      <c r="C36" s="9">
        <v>454787.0</v>
      </c>
      <c r="D36" s="7" t="s">
        <v>8</v>
      </c>
    </row>
    <row r="37" ht="22.5" customHeight="1">
      <c r="A37" s="8" t="s">
        <v>9</v>
      </c>
      <c r="B37" s="20">
        <v>46021.0</v>
      </c>
      <c r="C37" s="9">
        <v>100740.0</v>
      </c>
      <c r="D37" s="7" t="s">
        <v>10</v>
      </c>
    </row>
    <row r="38" ht="22.5" customHeight="1">
      <c r="A38" s="10" t="s">
        <v>11</v>
      </c>
      <c r="B38" s="20">
        <v>46021.0</v>
      </c>
      <c r="C38" s="11">
        <v>197130.0</v>
      </c>
      <c r="D38" s="7" t="s">
        <v>5</v>
      </c>
    </row>
    <row r="39" ht="22.5" customHeight="1">
      <c r="A39" s="10" t="s">
        <v>12</v>
      </c>
      <c r="B39" s="20">
        <v>46021.0</v>
      </c>
      <c r="C39" s="11">
        <v>103965.0</v>
      </c>
      <c r="D39" s="7" t="s">
        <v>8</v>
      </c>
    </row>
    <row r="40" ht="22.5" customHeight="1">
      <c r="A40" s="12" t="s">
        <v>13</v>
      </c>
      <c r="B40" s="20">
        <v>46021.0</v>
      </c>
      <c r="C40" s="19">
        <v>62000.0</v>
      </c>
      <c r="D40" s="7" t="s">
        <v>8</v>
      </c>
    </row>
    <row r="41" ht="22.5" customHeight="1">
      <c r="A41" s="14" t="s">
        <v>14</v>
      </c>
      <c r="B41" s="21">
        <v>46021.0</v>
      </c>
      <c r="C41" s="16">
        <v>15000.0</v>
      </c>
      <c r="D41" s="17" t="s">
        <v>5</v>
      </c>
    </row>
    <row r="42" ht="22.5" customHeight="1">
      <c r="A42" s="4" t="s">
        <v>4</v>
      </c>
      <c r="B42" s="20">
        <v>46075.0</v>
      </c>
      <c r="C42" s="6">
        <v>28800.0</v>
      </c>
      <c r="D42" s="7" t="s">
        <v>5</v>
      </c>
    </row>
    <row r="43" ht="22.5" customHeight="1">
      <c r="A43" s="8" t="s">
        <v>6</v>
      </c>
      <c r="B43" s="20">
        <v>46075.0</v>
      </c>
      <c r="C43" s="9">
        <v>30875.0</v>
      </c>
      <c r="D43" s="7" t="s">
        <v>5</v>
      </c>
    </row>
    <row r="44" ht="22.5" customHeight="1">
      <c r="A44" s="8" t="s">
        <v>7</v>
      </c>
      <c r="B44" s="20">
        <v>46075.0</v>
      </c>
      <c r="C44" s="9">
        <v>463575.0</v>
      </c>
      <c r="D44" s="7" t="s">
        <v>8</v>
      </c>
    </row>
    <row r="45" ht="22.5" customHeight="1">
      <c r="A45" s="8" t="s">
        <v>9</v>
      </c>
      <c r="B45" s="20">
        <v>46075.0</v>
      </c>
      <c r="C45" s="9">
        <v>150000.0</v>
      </c>
      <c r="D45" s="7" t="s">
        <v>10</v>
      </c>
    </row>
    <row r="46" ht="22.5" customHeight="1">
      <c r="A46" s="10" t="s">
        <v>11</v>
      </c>
      <c r="B46" s="20">
        <v>46075.0</v>
      </c>
      <c r="C46" s="11">
        <v>162740.0</v>
      </c>
      <c r="D46" s="7" t="s">
        <v>5</v>
      </c>
    </row>
    <row r="47" ht="22.5" customHeight="1">
      <c r="A47" s="10" t="s">
        <v>12</v>
      </c>
      <c r="B47" s="20">
        <v>46075.0</v>
      </c>
      <c r="C47" s="11">
        <v>106660.0</v>
      </c>
      <c r="D47" s="7" t="s">
        <v>8</v>
      </c>
    </row>
    <row r="48" ht="22.5" customHeight="1">
      <c r="A48" s="12" t="s">
        <v>13</v>
      </c>
      <c r="B48" s="20">
        <v>46075.0</v>
      </c>
      <c r="C48" s="19">
        <v>62000.0</v>
      </c>
      <c r="D48" s="7" t="s">
        <v>8</v>
      </c>
    </row>
    <row r="49" ht="22.5" customHeight="1">
      <c r="A49" s="14" t="s">
        <v>14</v>
      </c>
      <c r="B49" s="21">
        <v>46075.0</v>
      </c>
      <c r="C49" s="16">
        <v>15000.0</v>
      </c>
      <c r="D49" s="17" t="s">
        <v>5</v>
      </c>
    </row>
    <row r="50" ht="22.5" customHeight="1">
      <c r="A50" s="4" t="s">
        <v>4</v>
      </c>
      <c r="B50" s="20">
        <v>46097.0</v>
      </c>
      <c r="C50" s="6">
        <v>8825.0</v>
      </c>
      <c r="D50" s="7" t="s">
        <v>5</v>
      </c>
    </row>
    <row r="51" ht="22.5" customHeight="1">
      <c r="A51" s="8" t="s">
        <v>6</v>
      </c>
      <c r="B51" s="20">
        <v>46097.0</v>
      </c>
      <c r="C51" s="9">
        <v>20415.0</v>
      </c>
      <c r="D51" s="7" t="s">
        <v>5</v>
      </c>
    </row>
    <row r="52" ht="22.5" customHeight="1">
      <c r="A52" s="8" t="s">
        <v>7</v>
      </c>
      <c r="B52" s="20">
        <v>46097.0</v>
      </c>
      <c r="C52" s="9">
        <v>478220.0</v>
      </c>
      <c r="D52" s="7" t="s">
        <v>8</v>
      </c>
    </row>
    <row r="53" ht="22.5" customHeight="1">
      <c r="A53" s="8" t="s">
        <v>9</v>
      </c>
      <c r="B53" s="20">
        <v>46097.0</v>
      </c>
      <c r="C53" s="9">
        <v>151250.0</v>
      </c>
      <c r="D53" s="7" t="s">
        <v>10</v>
      </c>
    </row>
    <row r="54" ht="22.5" customHeight="1">
      <c r="A54" s="10" t="s">
        <v>11</v>
      </c>
      <c r="B54" s="20">
        <v>46097.0</v>
      </c>
      <c r="C54" s="11">
        <v>223770.0</v>
      </c>
      <c r="D54" s="7" t="s">
        <v>5</v>
      </c>
    </row>
    <row r="55" ht="22.5" customHeight="1">
      <c r="A55" s="10" t="s">
        <v>12</v>
      </c>
      <c r="B55" s="20">
        <v>46097.0</v>
      </c>
      <c r="C55" s="11">
        <v>107635.0</v>
      </c>
      <c r="D55" s="7" t="s">
        <v>8</v>
      </c>
    </row>
    <row r="56" ht="22.5" customHeight="1">
      <c r="A56" s="12" t="s">
        <v>13</v>
      </c>
      <c r="B56" s="20">
        <v>46097.0</v>
      </c>
      <c r="C56" s="19">
        <v>62000.0</v>
      </c>
      <c r="D56" s="7" t="s">
        <v>8</v>
      </c>
    </row>
    <row r="57" ht="22.5" customHeight="1">
      <c r="A57" s="14" t="s">
        <v>14</v>
      </c>
      <c r="B57" s="21">
        <v>46097.0</v>
      </c>
      <c r="C57" s="16">
        <v>15000.0</v>
      </c>
      <c r="D57" s="17" t="s">
        <v>5</v>
      </c>
    </row>
    <row r="58" ht="22.5" customHeight="1">
      <c r="A58" s="4" t="s">
        <v>4</v>
      </c>
      <c r="B58" s="20">
        <v>46117.0</v>
      </c>
      <c r="C58" s="6">
        <v>101355.0</v>
      </c>
      <c r="D58" s="7" t="s">
        <v>5</v>
      </c>
    </row>
    <row r="59" ht="22.5" customHeight="1">
      <c r="A59" s="8" t="s">
        <v>6</v>
      </c>
      <c r="B59" s="20">
        <v>46117.0</v>
      </c>
      <c r="C59" s="9">
        <v>5870.0</v>
      </c>
      <c r="D59" s="7" t="s">
        <v>5</v>
      </c>
    </row>
    <row r="60" ht="22.5" customHeight="1">
      <c r="A60" s="8" t="s">
        <v>7</v>
      </c>
      <c r="B60" s="20">
        <v>46117.0</v>
      </c>
      <c r="C60" s="9">
        <v>458735.0</v>
      </c>
      <c r="D60" s="7" t="s">
        <v>8</v>
      </c>
    </row>
    <row r="61" ht="22.5" customHeight="1">
      <c r="A61" s="8" t="s">
        <v>9</v>
      </c>
      <c r="B61" s="20">
        <v>46117.0</v>
      </c>
      <c r="C61" s="9">
        <v>153305.0</v>
      </c>
      <c r="D61" s="7" t="s">
        <v>10</v>
      </c>
    </row>
    <row r="62" ht="22.5" customHeight="1">
      <c r="A62" s="10" t="s">
        <v>11</v>
      </c>
      <c r="B62" s="20">
        <v>46117.0</v>
      </c>
      <c r="C62" s="11">
        <v>113305.0</v>
      </c>
      <c r="D62" s="7" t="s">
        <v>5</v>
      </c>
    </row>
    <row r="63" ht="22.5" customHeight="1">
      <c r="A63" s="10" t="s">
        <v>12</v>
      </c>
      <c r="B63" s="20">
        <v>46117.0</v>
      </c>
      <c r="C63" s="11">
        <v>108820.0</v>
      </c>
      <c r="D63" s="7" t="s">
        <v>8</v>
      </c>
    </row>
    <row r="64" ht="22.5" customHeight="1">
      <c r="A64" s="12" t="s">
        <v>13</v>
      </c>
      <c r="B64" s="20">
        <v>46117.0</v>
      </c>
      <c r="C64" s="19">
        <v>62000.0</v>
      </c>
      <c r="D64" s="7" t="s">
        <v>8</v>
      </c>
    </row>
    <row r="65" ht="22.5" customHeight="1">
      <c r="A65" s="14" t="s">
        <v>14</v>
      </c>
      <c r="B65" s="21">
        <v>46117.0</v>
      </c>
      <c r="C65" s="16">
        <v>15000.0</v>
      </c>
      <c r="D65" s="17" t="s">
        <v>5</v>
      </c>
    </row>
    <row r="66" ht="22.5" customHeight="1">
      <c r="A66" s="4" t="s">
        <v>4</v>
      </c>
      <c r="B66" s="20">
        <v>46145.0</v>
      </c>
      <c r="C66" s="6">
        <v>60000.0</v>
      </c>
      <c r="D66" s="7" t="s">
        <v>5</v>
      </c>
    </row>
    <row r="67" ht="22.5" customHeight="1">
      <c r="A67" s="8" t="s">
        <v>6</v>
      </c>
      <c r="B67" s="20">
        <v>46145.0</v>
      </c>
      <c r="C67" s="9">
        <v>1310.0</v>
      </c>
      <c r="D67" s="7" t="s">
        <v>5</v>
      </c>
    </row>
    <row r="68" ht="22.5" customHeight="1">
      <c r="A68" s="8" t="s">
        <v>7</v>
      </c>
      <c r="B68" s="20">
        <v>46145.0</v>
      </c>
      <c r="C68" s="9">
        <v>451800.0</v>
      </c>
      <c r="D68" s="7" t="s">
        <v>8</v>
      </c>
    </row>
    <row r="69" ht="22.5" customHeight="1">
      <c r="A69" s="8" t="s">
        <v>9</v>
      </c>
      <c r="B69" s="20">
        <v>46145.0</v>
      </c>
      <c r="C69" s="9">
        <v>201700.0</v>
      </c>
      <c r="D69" s="7" t="s">
        <v>10</v>
      </c>
    </row>
    <row r="70" ht="22.5" customHeight="1">
      <c r="A70" s="10" t="s">
        <v>11</v>
      </c>
      <c r="B70" s="20">
        <v>46145.0</v>
      </c>
      <c r="C70" s="11">
        <v>72600.0</v>
      </c>
      <c r="D70" s="7" t="s">
        <v>5</v>
      </c>
    </row>
    <row r="71" ht="22.5" customHeight="1">
      <c r="A71" s="10" t="s">
        <v>12</v>
      </c>
      <c r="B71" s="20">
        <v>46145.0</v>
      </c>
      <c r="C71" s="11">
        <v>110000.0</v>
      </c>
      <c r="D71" s="7" t="s">
        <v>8</v>
      </c>
    </row>
    <row r="72" ht="22.5" customHeight="1">
      <c r="A72" s="12" t="s">
        <v>13</v>
      </c>
      <c r="B72" s="20">
        <v>46145.0</v>
      </c>
      <c r="C72" s="19">
        <v>62000.0</v>
      </c>
      <c r="D72" s="7" t="s">
        <v>8</v>
      </c>
    </row>
    <row r="73" ht="22.5" customHeight="1">
      <c r="A73" s="14" t="s">
        <v>14</v>
      </c>
      <c r="B73" s="21">
        <v>46145.0</v>
      </c>
      <c r="C73" s="16">
        <v>15000.0</v>
      </c>
      <c r="D73" s="17" t="s">
        <v>5</v>
      </c>
    </row>
    <row r="74" ht="22.5" customHeight="1">
      <c r="A74" s="4" t="s">
        <v>4</v>
      </c>
      <c r="B74" s="20">
        <v>46198.0</v>
      </c>
      <c r="C74" s="28">
        <v>12200.0</v>
      </c>
      <c r="D74" s="7" t="s">
        <v>5</v>
      </c>
    </row>
    <row r="75" ht="22.5" customHeight="1">
      <c r="A75" s="8" t="s">
        <v>6</v>
      </c>
      <c r="B75" s="20">
        <v>46198.0</v>
      </c>
      <c r="C75" s="29">
        <v>100.0</v>
      </c>
      <c r="D75" s="7" t="s">
        <v>5</v>
      </c>
    </row>
    <row r="76" ht="22.5" customHeight="1">
      <c r="A76" s="8" t="s">
        <v>7</v>
      </c>
      <c r="B76" s="20">
        <v>46198.0</v>
      </c>
      <c r="C76" s="28">
        <v>423000.0</v>
      </c>
      <c r="D76" s="7" t="s">
        <v>8</v>
      </c>
    </row>
    <row r="77" ht="22.5" customHeight="1">
      <c r="A77" s="8" t="s">
        <v>9</v>
      </c>
      <c r="B77" s="20">
        <v>46198.0</v>
      </c>
      <c r="C77" s="29">
        <v>203400.0</v>
      </c>
      <c r="D77" s="7" t="s">
        <v>10</v>
      </c>
    </row>
    <row r="78" ht="22.5" customHeight="1">
      <c r="A78" s="10" t="s">
        <v>11</v>
      </c>
      <c r="B78" s="20">
        <v>46198.0</v>
      </c>
      <c r="C78" s="28">
        <v>190200.0</v>
      </c>
      <c r="D78" s="7" t="s">
        <v>5</v>
      </c>
    </row>
    <row r="79" ht="22.5" customHeight="1">
      <c r="A79" s="10" t="s">
        <v>12</v>
      </c>
      <c r="B79" s="20">
        <v>46198.0</v>
      </c>
      <c r="C79" s="28">
        <v>112200.0</v>
      </c>
      <c r="D79" s="7" t="s">
        <v>8</v>
      </c>
    </row>
    <row r="80" ht="22.5" customHeight="1">
      <c r="A80" s="12" t="s">
        <v>13</v>
      </c>
      <c r="B80" s="20">
        <v>46198.0</v>
      </c>
      <c r="C80" s="30">
        <v>25000.0</v>
      </c>
      <c r="D80" s="7" t="s">
        <v>8</v>
      </c>
    </row>
    <row r="81" ht="22.5" customHeight="1">
      <c r="A81" s="14" t="s">
        <v>14</v>
      </c>
      <c r="B81" s="21">
        <v>46198.0</v>
      </c>
      <c r="C81" s="31">
        <v>21500.0</v>
      </c>
      <c r="D81" s="17" t="s">
        <v>5</v>
      </c>
    </row>
    <row r="82" ht="22.5" customHeight="1">
      <c r="A82" s="4" t="s">
        <v>4</v>
      </c>
      <c r="B82" s="20">
        <v>46230.0</v>
      </c>
      <c r="C82" s="28">
        <v>27300.0</v>
      </c>
      <c r="D82" s="7" t="s">
        <v>5</v>
      </c>
    </row>
    <row r="83" ht="22.5" customHeight="1">
      <c r="A83" s="8" t="s">
        <v>6</v>
      </c>
      <c r="B83" s="20">
        <v>46230.0</v>
      </c>
      <c r="C83" s="28">
        <v>7200.0</v>
      </c>
      <c r="D83" s="7" t="s">
        <v>5</v>
      </c>
    </row>
    <row r="84" ht="22.5" customHeight="1">
      <c r="A84" s="8" t="s">
        <v>7</v>
      </c>
      <c r="B84" s="20">
        <v>46230.0</v>
      </c>
      <c r="C84" s="28">
        <v>425000.0</v>
      </c>
      <c r="D84" s="7" t="s">
        <v>8</v>
      </c>
    </row>
    <row r="85" ht="22.5" customHeight="1">
      <c r="A85" s="8" t="s">
        <v>9</v>
      </c>
      <c r="B85" s="20">
        <v>46230.0</v>
      </c>
      <c r="C85" s="28">
        <v>205200.0</v>
      </c>
      <c r="D85" s="7" t="s">
        <v>10</v>
      </c>
    </row>
    <row r="86" ht="22.5" customHeight="1">
      <c r="A86" s="10" t="s">
        <v>11</v>
      </c>
      <c r="B86" s="20">
        <v>46230.0</v>
      </c>
      <c r="C86" s="28">
        <v>155830.0</v>
      </c>
      <c r="D86" s="7" t="s">
        <v>5</v>
      </c>
    </row>
    <row r="87" ht="22.5" customHeight="1">
      <c r="A87" s="10" t="s">
        <v>12</v>
      </c>
      <c r="B87" s="20">
        <v>46230.0</v>
      </c>
      <c r="C87" s="28">
        <v>113430.0</v>
      </c>
      <c r="D87" s="7" t="s">
        <v>8</v>
      </c>
    </row>
    <row r="88" ht="22.5" customHeight="1">
      <c r="A88" s="12" t="s">
        <v>13</v>
      </c>
      <c r="B88" s="20">
        <v>46230.0</v>
      </c>
      <c r="C88" s="30">
        <v>60000.0</v>
      </c>
      <c r="D88" s="7" t="s">
        <v>8</v>
      </c>
    </row>
    <row r="89" ht="22.5" customHeight="1">
      <c r="A89" s="14" t="s">
        <v>14</v>
      </c>
      <c r="B89" s="21">
        <v>46230.0</v>
      </c>
      <c r="C89" s="31">
        <v>30000.0</v>
      </c>
      <c r="D89" s="17" t="s">
        <v>5</v>
      </c>
    </row>
    <row r="90" ht="22.5" customHeight="1">
      <c r="A90" s="4" t="s">
        <v>4</v>
      </c>
      <c r="B90" s="20">
        <v>46237.0</v>
      </c>
      <c r="C90" s="28">
        <v>28850.0</v>
      </c>
      <c r="D90" s="7" t="s">
        <v>5</v>
      </c>
    </row>
    <row r="91" ht="22.5" customHeight="1">
      <c r="A91" s="8" t="s">
        <v>6</v>
      </c>
      <c r="B91" s="20">
        <v>46237.0</v>
      </c>
      <c r="C91" s="28">
        <v>7000.0</v>
      </c>
      <c r="D91" s="7" t="s">
        <v>5</v>
      </c>
    </row>
    <row r="92" ht="22.5" customHeight="1">
      <c r="A92" s="8" t="s">
        <v>7</v>
      </c>
      <c r="B92" s="20">
        <v>46237.0</v>
      </c>
      <c r="C92" s="28">
        <v>432400.0</v>
      </c>
      <c r="D92" s="7" t="s">
        <v>8</v>
      </c>
    </row>
    <row r="93" ht="22.5" customHeight="1">
      <c r="A93" s="8" t="s">
        <v>9</v>
      </c>
      <c r="B93" s="20">
        <v>46237.0</v>
      </c>
      <c r="C93" s="28">
        <v>207022.0</v>
      </c>
      <c r="D93" s="7" t="s">
        <v>10</v>
      </c>
    </row>
    <row r="94" ht="22.5" customHeight="1">
      <c r="A94" s="10" t="s">
        <v>11</v>
      </c>
      <c r="B94" s="20">
        <v>46237.0</v>
      </c>
      <c r="C94" s="28">
        <v>135500.0</v>
      </c>
      <c r="D94" s="7" t="s">
        <v>5</v>
      </c>
    </row>
    <row r="95" ht="22.5" customHeight="1">
      <c r="A95" s="10" t="s">
        <v>12</v>
      </c>
      <c r="B95" s="20">
        <v>46237.0</v>
      </c>
      <c r="C95" s="28">
        <v>113560.0</v>
      </c>
      <c r="D95" s="7" t="s">
        <v>8</v>
      </c>
    </row>
    <row r="96" ht="22.5" customHeight="1">
      <c r="A96" s="12" t="s">
        <v>13</v>
      </c>
      <c r="B96" s="20">
        <v>46237.0</v>
      </c>
      <c r="C96" s="30">
        <v>60000.0</v>
      </c>
      <c r="D96" s="7" t="s">
        <v>8</v>
      </c>
    </row>
    <row r="97" ht="22.5" customHeight="1">
      <c r="A97" s="14" t="s">
        <v>14</v>
      </c>
      <c r="B97" s="21">
        <v>46237.0</v>
      </c>
      <c r="C97" s="31">
        <v>30000.0</v>
      </c>
      <c r="D97" s="17" t="s">
        <v>5</v>
      </c>
    </row>
    <row r="98" ht="22.5" customHeight="1">
      <c r="A98" s="4" t="s">
        <v>4</v>
      </c>
      <c r="B98" s="32">
        <v>46276.0</v>
      </c>
      <c r="C98" s="33">
        <v>46530.0</v>
      </c>
      <c r="D98" s="7" t="s">
        <v>5</v>
      </c>
    </row>
    <row r="99" ht="22.5" customHeight="1">
      <c r="A99" s="8" t="s">
        <v>6</v>
      </c>
      <c r="B99" s="32">
        <v>46276.0</v>
      </c>
      <c r="C99" s="34">
        <v>4150.0</v>
      </c>
      <c r="D99" s="7" t="s">
        <v>5</v>
      </c>
    </row>
    <row r="100" ht="22.5" customHeight="1">
      <c r="A100" s="8" t="s">
        <v>7</v>
      </c>
      <c r="B100" s="32">
        <v>46276.0</v>
      </c>
      <c r="C100" s="34">
        <v>438800.0</v>
      </c>
      <c r="D100" s="7" t="s">
        <v>8</v>
      </c>
    </row>
    <row r="101" ht="22.5" customHeight="1">
      <c r="A101" s="8" t="s">
        <v>9</v>
      </c>
      <c r="B101" s="32">
        <v>46276.0</v>
      </c>
      <c r="C101" s="34">
        <v>209300.0</v>
      </c>
      <c r="D101" s="7" t="s">
        <v>10</v>
      </c>
    </row>
    <row r="102" ht="22.5" customHeight="1">
      <c r="A102" s="10" t="s">
        <v>11</v>
      </c>
      <c r="B102" s="32">
        <v>46276.0</v>
      </c>
      <c r="C102" s="35">
        <v>56400.0</v>
      </c>
      <c r="D102" s="7" t="s">
        <v>5</v>
      </c>
    </row>
    <row r="103" ht="22.5" customHeight="1">
      <c r="A103" s="10" t="s">
        <v>12</v>
      </c>
      <c r="B103" s="32">
        <v>46276.0</v>
      </c>
      <c r="C103" s="35">
        <v>115400.0</v>
      </c>
      <c r="D103" s="7" t="s">
        <v>8</v>
      </c>
    </row>
    <row r="104" ht="22.5" customHeight="1">
      <c r="A104" s="12" t="s">
        <v>13</v>
      </c>
      <c r="B104" s="32">
        <v>46276.0</v>
      </c>
      <c r="C104" s="36">
        <v>55000.0</v>
      </c>
      <c r="D104" s="7" t="s">
        <v>8</v>
      </c>
    </row>
    <row r="105" ht="22.5" customHeight="1">
      <c r="A105" s="14" t="s">
        <v>14</v>
      </c>
      <c r="B105" s="32">
        <v>46276.0</v>
      </c>
      <c r="C105" s="37">
        <f>14000+93500</f>
        <v>107500</v>
      </c>
      <c r="D105" s="17" t="s">
        <v>5</v>
      </c>
    </row>
    <row r="106" ht="22.5" customHeight="1">
      <c r="A106" s="4" t="s">
        <v>4</v>
      </c>
      <c r="B106" s="32">
        <v>46315.0</v>
      </c>
      <c r="C106" s="38">
        <v>70600.0</v>
      </c>
      <c r="D106" s="7" t="s">
        <v>5</v>
      </c>
    </row>
    <row r="107" ht="22.5" customHeight="1">
      <c r="A107" s="8" t="s">
        <v>6</v>
      </c>
      <c r="B107" s="32">
        <v>46315.0</v>
      </c>
      <c r="C107" s="39">
        <v>2240.0</v>
      </c>
      <c r="D107" s="7" t="s">
        <v>5</v>
      </c>
    </row>
    <row r="108" ht="22.5" customHeight="1">
      <c r="A108" s="8" t="s">
        <v>7</v>
      </c>
      <c r="B108" s="32">
        <v>46315.0</v>
      </c>
      <c r="C108" s="39">
        <v>445000.0</v>
      </c>
      <c r="D108" s="7" t="s">
        <v>8</v>
      </c>
    </row>
    <row r="109" ht="22.5" customHeight="1">
      <c r="A109" s="8" t="s">
        <v>9</v>
      </c>
      <c r="B109" s="32">
        <v>46315.0</v>
      </c>
      <c r="C109" s="39">
        <v>211610.0</v>
      </c>
      <c r="D109" s="7" t="s">
        <v>10</v>
      </c>
    </row>
    <row r="110" ht="22.5" customHeight="1">
      <c r="A110" s="10" t="s">
        <v>11</v>
      </c>
      <c r="B110" s="32">
        <v>46315.0</v>
      </c>
      <c r="C110" s="40">
        <v>57100.0</v>
      </c>
      <c r="D110" s="7" t="s">
        <v>5</v>
      </c>
    </row>
    <row r="111" ht="22.5" customHeight="1">
      <c r="A111" s="10" t="s">
        <v>12</v>
      </c>
      <c r="B111" s="32">
        <v>46315.0</v>
      </c>
      <c r="C111" s="40">
        <v>117000.0</v>
      </c>
      <c r="D111" s="7" t="s">
        <v>8</v>
      </c>
    </row>
    <row r="112" ht="22.5" customHeight="1">
      <c r="A112" s="12" t="s">
        <v>13</v>
      </c>
      <c r="B112" s="32">
        <v>46315.0</v>
      </c>
      <c r="C112" s="36">
        <v>55000.0</v>
      </c>
      <c r="D112" s="7" t="s">
        <v>8</v>
      </c>
    </row>
    <row r="113" ht="22.5" customHeight="1">
      <c r="A113" s="14" t="s">
        <v>14</v>
      </c>
      <c r="B113" s="32">
        <v>46315.0</v>
      </c>
      <c r="C113" s="41">
        <v>112500.0</v>
      </c>
      <c r="D113" s="17" t="s">
        <v>5</v>
      </c>
    </row>
  </sheetData>
  <customSheetViews>
    <customSheetView guid="{336F4B0B-97A9-404C-90F5-4B9D7C4C9FCA}" filter="1" showAutoFilter="1">
      <autoFilter ref="$A$1:$C$105"/>
    </customSheetView>
  </customSheetViews>
  <dataValidations>
    <dataValidation type="custom" allowBlank="1" showDropDown="1" sqref="B2:B113">
      <formula1>OR(NOT(ISERROR(DATEVALUE(B2))), AND(ISNUMBER(B2), LEFT(CELL("format", B2))="D"))</formula1>
    </dataValidation>
    <dataValidation type="custom" allowBlank="1" showDropDown="1" sqref="C2:C113">
      <formula1>AND(ISNUMBER(C2),(NOT(OR(NOT(ISERROR(DATEVALUE(C2))), AND(ISNUMBER(C2), LEFT(CELL("format", C2))="D")))))</formula1>
    </dataValidation>
    <dataValidation allowBlank="1" showDropDown="1" sqref="A2:A113 D2:D113"/>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C1" s="55" t="s">
        <v>26</v>
      </c>
    </row>
    <row r="2"/>
    <row r="3">
      <c r="C3" s="58">
        <f t="shared" ref="C3:C15" si="1">B3-B2</f>
        <v>57947</v>
      </c>
    </row>
    <row r="4">
      <c r="C4" s="58">
        <f t="shared" si="1"/>
        <v>4402</v>
      </c>
    </row>
    <row r="5">
      <c r="C5" s="58">
        <f t="shared" si="1"/>
        <v>-14566</v>
      </c>
    </row>
    <row r="6">
      <c r="C6" s="58">
        <f t="shared" si="1"/>
        <v>121877</v>
      </c>
    </row>
    <row r="7">
      <c r="C7" s="58">
        <f t="shared" si="1"/>
        <v>-12678</v>
      </c>
    </row>
    <row r="8">
      <c r="C8" s="58">
        <f t="shared" si="1"/>
        <v>47465</v>
      </c>
    </row>
    <row r="9">
      <c r="C9" s="58">
        <f t="shared" si="1"/>
        <v>-48725</v>
      </c>
      <c r="O9" s="54"/>
    </row>
    <row r="10">
      <c r="C10" s="58">
        <f t="shared" si="1"/>
        <v>-43980</v>
      </c>
    </row>
    <row r="11">
      <c r="C11" s="58">
        <f t="shared" si="1"/>
        <v>13190</v>
      </c>
    </row>
    <row r="12">
      <c r="C12" s="58">
        <f t="shared" si="1"/>
        <v>36360</v>
      </c>
    </row>
    <row r="13">
      <c r="C13" s="58">
        <f t="shared" si="1"/>
        <v>-9628</v>
      </c>
    </row>
    <row r="14">
      <c r="C14" s="58">
        <f t="shared" si="1"/>
        <v>18748</v>
      </c>
    </row>
    <row r="15">
      <c r="C15" s="58">
        <f t="shared" si="1"/>
        <v>37970</v>
      </c>
    </row>
    <row r="17">
      <c r="C17" s="54">
        <f t="shared" ref="C17:C19" si="2">B17-B16</f>
        <v>0</v>
      </c>
    </row>
    <row r="18">
      <c r="C18" s="54">
        <f t="shared" si="2"/>
        <v>0</v>
      </c>
    </row>
    <row r="19">
      <c r="C19" s="54">
        <f t="shared" si="2"/>
        <v>0</v>
      </c>
    </row>
  </sheetData>
  <conditionalFormatting sqref="C2:C19">
    <cfRule type="colorScale" priority="1">
      <colorScale>
        <cfvo type="min"/>
        <cfvo type="percentile" val="50"/>
        <cfvo type="max"/>
        <color rgb="FFE67C73"/>
        <color rgb="FFFFFFFF"/>
        <color rgb="FF57BB8A"/>
      </colorScale>
    </cfRule>
  </conditionalFormatting>
  <drawing r:id="rId2"/>
  <extLst>
    <ext uri="{05C60535-1F16-4fd2-B633-F4F36F0B64E0}">
      <x14:sparklineGroups>
        <x14:sparklineGroup displayEmptyCellsAs="gap">
          <x14:colorSeries rgb="FF000000"/>
          <x14:sparklines>
            <x14:sparkline>
              <xm:f>'Общий капитал'!B2:B1000</xm:f>
              <xm:sqref>O9</xm:sqref>
            </x14:sparkline>
          </x14:sparklines>
        </x14:sparklineGroup>
      </x14:sparklineGroups>
    </ex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38"/>
  </cols>
  <sheetData>
    <row r="1">
      <c r="F1" s="23"/>
      <c r="G1" s="23"/>
      <c r="H1" s="23"/>
      <c r="I1" s="23"/>
      <c r="J1" s="23"/>
      <c r="K1" s="23"/>
      <c r="L1" s="23"/>
      <c r="M1" s="23"/>
      <c r="N1" s="23"/>
      <c r="O1" s="23"/>
      <c r="P1" s="23"/>
      <c r="Q1" s="23"/>
      <c r="R1" s="23"/>
      <c r="S1" s="23"/>
      <c r="T1" s="23"/>
      <c r="U1" s="23"/>
      <c r="V1" s="23"/>
      <c r="W1" s="23"/>
      <c r="X1" s="23"/>
      <c r="Y1" s="23"/>
      <c r="Z1" s="23"/>
    </row>
    <row r="2">
      <c r="F2" s="23"/>
      <c r="G2" s="23"/>
      <c r="H2" s="23"/>
      <c r="I2" s="23"/>
      <c r="J2" s="23"/>
      <c r="K2" s="23"/>
      <c r="L2" s="23"/>
      <c r="M2" s="23"/>
      <c r="N2" s="23"/>
      <c r="O2" s="23"/>
      <c r="P2" s="23"/>
      <c r="Q2" s="23"/>
      <c r="R2" s="23"/>
      <c r="S2" s="23"/>
      <c r="T2" s="23"/>
      <c r="U2" s="23"/>
      <c r="V2" s="23"/>
      <c r="W2" s="23"/>
      <c r="X2" s="23"/>
      <c r="Y2" s="23"/>
      <c r="Z2" s="23"/>
    </row>
    <row r="3">
      <c r="F3" s="23"/>
      <c r="G3" s="23"/>
      <c r="H3" s="23"/>
      <c r="I3" s="23"/>
      <c r="J3" s="23"/>
      <c r="K3" s="23"/>
      <c r="L3" s="23"/>
      <c r="M3" s="23"/>
      <c r="N3" s="23"/>
      <c r="O3" s="23"/>
      <c r="P3" s="23"/>
      <c r="Q3" s="23"/>
      <c r="R3" s="23"/>
      <c r="S3" s="23"/>
      <c r="T3" s="23"/>
      <c r="U3" s="23"/>
      <c r="V3" s="23"/>
      <c r="W3" s="23"/>
      <c r="X3" s="23"/>
      <c r="Y3" s="23"/>
      <c r="Z3" s="23"/>
    </row>
    <row r="4">
      <c r="F4" s="23"/>
      <c r="G4" s="23"/>
      <c r="H4" s="23"/>
      <c r="I4" s="23"/>
      <c r="J4" s="23"/>
      <c r="K4" s="23"/>
      <c r="L4" s="23"/>
      <c r="M4" s="23"/>
      <c r="N4" s="23"/>
      <c r="O4" s="23"/>
      <c r="P4" s="23"/>
      <c r="Q4" s="23"/>
      <c r="R4" s="23"/>
      <c r="S4" s="23"/>
      <c r="T4" s="23"/>
      <c r="U4" s="23"/>
      <c r="V4" s="23"/>
      <c r="W4" s="23"/>
      <c r="X4" s="23"/>
      <c r="Y4" s="23"/>
      <c r="Z4" s="23"/>
    </row>
    <row r="5">
      <c r="F5" s="23"/>
      <c r="G5" s="23"/>
      <c r="H5" s="23"/>
      <c r="I5" s="23"/>
      <c r="J5" s="23"/>
      <c r="K5" s="23"/>
      <c r="L5" s="23"/>
      <c r="M5" s="23"/>
      <c r="N5" s="23"/>
      <c r="O5" s="23"/>
      <c r="P5" s="23"/>
      <c r="Q5" s="23"/>
      <c r="R5" s="23"/>
      <c r="S5" s="23"/>
      <c r="T5" s="23"/>
      <c r="U5" s="23"/>
      <c r="V5" s="23"/>
      <c r="W5" s="23"/>
      <c r="X5" s="23"/>
      <c r="Y5" s="23"/>
      <c r="Z5" s="23"/>
    </row>
    <row r="6">
      <c r="F6" s="23"/>
      <c r="G6" s="23"/>
      <c r="H6" s="23"/>
      <c r="I6" s="23"/>
      <c r="J6" s="23"/>
      <c r="K6" s="23"/>
      <c r="L6" s="23"/>
      <c r="M6" s="23"/>
      <c r="N6" s="23"/>
      <c r="O6" s="23"/>
      <c r="P6" s="23"/>
      <c r="Q6" s="23"/>
      <c r="R6" s="23"/>
      <c r="S6" s="23"/>
      <c r="T6" s="23"/>
      <c r="U6" s="23"/>
      <c r="V6" s="23"/>
      <c r="W6" s="23"/>
      <c r="X6" s="23"/>
      <c r="Y6" s="23"/>
      <c r="Z6" s="23"/>
    </row>
    <row r="7">
      <c r="F7" s="23"/>
      <c r="G7" s="23"/>
      <c r="H7" s="23"/>
      <c r="I7" s="23"/>
      <c r="J7" s="23"/>
      <c r="K7" s="23"/>
      <c r="L7" s="23"/>
      <c r="M7" s="23"/>
      <c r="N7" s="23"/>
      <c r="O7" s="23"/>
      <c r="P7" s="23"/>
      <c r="Q7" s="23"/>
      <c r="R7" s="23"/>
      <c r="S7" s="23"/>
      <c r="T7" s="23"/>
      <c r="U7" s="23"/>
      <c r="V7" s="23"/>
      <c r="W7" s="23"/>
      <c r="X7" s="23"/>
      <c r="Y7" s="23"/>
      <c r="Z7" s="23"/>
    </row>
    <row r="8">
      <c r="F8" s="23"/>
      <c r="G8" s="23"/>
      <c r="H8" s="23"/>
      <c r="I8" s="23"/>
      <c r="J8" s="23"/>
      <c r="K8" s="23"/>
      <c r="L8" s="23"/>
      <c r="M8" s="23"/>
      <c r="N8" s="23"/>
      <c r="O8" s="23"/>
      <c r="P8" s="23"/>
      <c r="Q8" s="23"/>
      <c r="R8" s="23"/>
      <c r="S8" s="23"/>
      <c r="T8" s="23"/>
      <c r="U8" s="23"/>
      <c r="V8" s="23"/>
      <c r="W8" s="23"/>
      <c r="X8" s="23"/>
      <c r="Y8" s="23"/>
      <c r="Z8" s="23"/>
    </row>
    <row r="9">
      <c r="F9" s="23"/>
      <c r="G9" s="23"/>
      <c r="H9" s="23"/>
      <c r="I9" s="23"/>
      <c r="J9" s="23"/>
      <c r="K9" s="23"/>
      <c r="L9" s="23"/>
      <c r="M9" s="23"/>
      <c r="N9" s="23"/>
      <c r="O9" s="23"/>
      <c r="P9" s="23"/>
      <c r="Q9" s="23"/>
      <c r="R9" s="23"/>
      <c r="S9" s="23"/>
      <c r="T9" s="23"/>
      <c r="U9" s="23"/>
      <c r="V9" s="23"/>
      <c r="W9" s="23"/>
      <c r="X9" s="23"/>
      <c r="Y9" s="23"/>
      <c r="Z9" s="23"/>
    </row>
    <row r="10">
      <c r="F10" s="23"/>
      <c r="G10" s="23"/>
      <c r="H10" s="23"/>
      <c r="I10" s="23"/>
      <c r="J10" s="23"/>
      <c r="K10" s="23"/>
      <c r="L10" s="23"/>
      <c r="M10" s="23"/>
      <c r="N10" s="23"/>
      <c r="O10" s="23"/>
      <c r="P10" s="23"/>
      <c r="Q10" s="23"/>
      <c r="R10" s="23"/>
      <c r="S10" s="23"/>
      <c r="T10" s="23"/>
      <c r="U10" s="23"/>
      <c r="V10" s="23"/>
      <c r="W10" s="23"/>
      <c r="X10" s="23"/>
      <c r="Y10" s="23"/>
      <c r="Z10" s="23"/>
    </row>
    <row r="11">
      <c r="F11" s="23"/>
      <c r="G11" s="23"/>
      <c r="H11" s="23"/>
      <c r="I11" s="23"/>
      <c r="J11" s="23"/>
      <c r="K11" s="23"/>
      <c r="L11" s="23"/>
      <c r="M11" s="23"/>
      <c r="N11" s="23"/>
      <c r="O11" s="23"/>
      <c r="P11" s="23"/>
      <c r="Q11" s="23"/>
      <c r="R11" s="23"/>
      <c r="S11" s="23"/>
      <c r="T11" s="23"/>
      <c r="U11" s="23"/>
      <c r="V11" s="23"/>
      <c r="W11" s="23"/>
      <c r="X11" s="23"/>
      <c r="Y11" s="23"/>
      <c r="Z11" s="23"/>
    </row>
    <row r="12">
      <c r="F12" s="23"/>
      <c r="G12" s="23"/>
      <c r="H12" s="23"/>
      <c r="I12" s="23"/>
      <c r="J12" s="23"/>
      <c r="K12" s="23"/>
      <c r="L12" s="23"/>
      <c r="M12" s="23"/>
      <c r="N12" s="23"/>
      <c r="O12" s="23"/>
      <c r="P12" s="23"/>
      <c r="Q12" s="23"/>
      <c r="R12" s="23"/>
      <c r="S12" s="23"/>
      <c r="T12" s="23"/>
      <c r="U12" s="23"/>
      <c r="V12" s="23"/>
      <c r="W12" s="23"/>
      <c r="X12" s="23"/>
      <c r="Y12" s="23"/>
      <c r="Z12" s="23"/>
    </row>
    <row r="13">
      <c r="F13" s="23"/>
      <c r="G13" s="23"/>
      <c r="H13" s="23"/>
      <c r="I13" s="23"/>
      <c r="J13" s="23"/>
      <c r="K13" s="23"/>
      <c r="L13" s="23"/>
      <c r="M13" s="23"/>
      <c r="N13" s="23"/>
      <c r="O13" s="23"/>
      <c r="P13" s="23"/>
      <c r="Q13" s="23"/>
      <c r="R13" s="23"/>
      <c r="S13" s="23"/>
      <c r="T13" s="23"/>
      <c r="U13" s="23"/>
      <c r="V13" s="23"/>
      <c r="W13" s="23"/>
      <c r="X13" s="23"/>
      <c r="Y13" s="23"/>
      <c r="Z13" s="23"/>
    </row>
    <row r="14">
      <c r="F14" s="23"/>
      <c r="G14" s="23"/>
      <c r="H14" s="23"/>
      <c r="I14" s="23"/>
      <c r="J14" s="23"/>
      <c r="K14" s="23"/>
      <c r="L14" s="23"/>
      <c r="M14" s="23"/>
      <c r="N14" s="23"/>
      <c r="O14" s="23"/>
      <c r="P14" s="23"/>
      <c r="Q14" s="23"/>
      <c r="R14" s="23"/>
      <c r="S14" s="23"/>
      <c r="T14" s="23"/>
      <c r="U14" s="23"/>
      <c r="V14" s="23"/>
      <c r="W14" s="23"/>
      <c r="X14" s="23"/>
      <c r="Y14" s="23"/>
      <c r="Z14" s="23"/>
    </row>
    <row r="15">
      <c r="F15" s="23"/>
      <c r="G15" s="23"/>
      <c r="H15" s="23"/>
      <c r="I15" s="23"/>
      <c r="J15" s="23"/>
      <c r="K15" s="23"/>
      <c r="L15" s="23"/>
      <c r="M15" s="23"/>
      <c r="N15" s="23"/>
      <c r="O15" s="23"/>
      <c r="P15" s="23"/>
      <c r="Q15" s="23"/>
      <c r="R15" s="23"/>
      <c r="S15" s="23"/>
      <c r="T15" s="23"/>
      <c r="U15" s="23"/>
      <c r="V15" s="23"/>
      <c r="W15" s="23"/>
      <c r="X15" s="23"/>
      <c r="Y15" s="23"/>
      <c r="Z15" s="23"/>
    </row>
    <row r="16">
      <c r="F16" s="23"/>
      <c r="G16" s="23"/>
      <c r="H16" s="23"/>
      <c r="I16" s="23"/>
      <c r="J16" s="23"/>
      <c r="K16" s="23"/>
      <c r="L16" s="23"/>
      <c r="M16" s="23"/>
      <c r="N16" s="23"/>
      <c r="O16" s="23"/>
      <c r="P16" s="23"/>
      <c r="Q16" s="23"/>
      <c r="R16" s="23"/>
      <c r="S16" s="23"/>
      <c r="T16" s="23"/>
      <c r="U16" s="23"/>
      <c r="V16" s="23"/>
      <c r="W16" s="23"/>
      <c r="X16" s="23"/>
      <c r="Y16" s="23"/>
      <c r="Z16" s="23"/>
    </row>
    <row r="17">
      <c r="A17" s="22"/>
      <c r="B17" s="22"/>
      <c r="C17" s="22"/>
      <c r="D17" s="22"/>
      <c r="E17" s="22"/>
      <c r="F17" s="23"/>
      <c r="G17" s="23"/>
      <c r="H17" s="23"/>
      <c r="I17" s="23"/>
      <c r="J17" s="23"/>
      <c r="K17" s="23"/>
      <c r="L17" s="23"/>
      <c r="M17" s="23"/>
      <c r="N17" s="23"/>
      <c r="O17" s="23"/>
      <c r="P17" s="23"/>
      <c r="Q17" s="23"/>
      <c r="R17" s="23"/>
      <c r="S17" s="23"/>
      <c r="T17" s="23"/>
      <c r="U17" s="23"/>
      <c r="V17" s="23"/>
      <c r="W17" s="23"/>
      <c r="X17" s="23"/>
      <c r="Y17" s="23"/>
      <c r="Z17" s="23"/>
    </row>
    <row r="18">
      <c r="A18" s="22"/>
      <c r="B18" s="22"/>
      <c r="C18" s="22"/>
      <c r="D18" s="22"/>
      <c r="E18" s="22"/>
      <c r="F18" s="23"/>
      <c r="G18" s="23"/>
      <c r="H18" s="23"/>
      <c r="I18" s="23"/>
      <c r="J18" s="23"/>
      <c r="K18" s="23"/>
      <c r="L18" s="23"/>
      <c r="M18" s="23"/>
      <c r="N18" s="23"/>
      <c r="O18" s="23"/>
      <c r="P18" s="23"/>
      <c r="Q18" s="23"/>
      <c r="R18" s="23"/>
      <c r="S18" s="23"/>
      <c r="T18" s="23"/>
      <c r="U18" s="23"/>
      <c r="V18" s="23"/>
      <c r="W18" s="23"/>
      <c r="X18" s="23"/>
      <c r="Y18" s="23"/>
      <c r="Z18" s="23"/>
    </row>
    <row r="19">
      <c r="A19" s="22"/>
      <c r="B19" s="22"/>
      <c r="C19" s="22"/>
      <c r="D19" s="22"/>
      <c r="E19" s="22"/>
      <c r="F19" s="23"/>
      <c r="G19" s="23"/>
      <c r="H19" s="23"/>
      <c r="I19" s="23"/>
      <c r="J19" s="23"/>
      <c r="K19" s="23"/>
      <c r="L19" s="23"/>
      <c r="M19" s="23"/>
      <c r="N19" s="23"/>
      <c r="O19" s="23"/>
      <c r="P19" s="23"/>
      <c r="Q19" s="23"/>
      <c r="R19" s="23"/>
      <c r="S19" s="23"/>
      <c r="T19" s="23"/>
      <c r="U19" s="23"/>
      <c r="V19" s="23"/>
      <c r="W19" s="23"/>
      <c r="X19" s="23"/>
      <c r="Y19" s="23"/>
      <c r="Z19" s="23"/>
    </row>
    <row r="20">
      <c r="A20" s="22"/>
      <c r="B20" s="22"/>
      <c r="C20" s="22"/>
      <c r="D20" s="22"/>
      <c r="E20" s="22"/>
      <c r="F20" s="23"/>
      <c r="G20" s="23"/>
      <c r="H20" s="23"/>
      <c r="I20" s="23"/>
      <c r="J20" s="23"/>
      <c r="K20" s="23"/>
      <c r="L20" s="23"/>
      <c r="M20" s="23"/>
      <c r="N20" s="23"/>
      <c r="O20" s="23"/>
      <c r="P20" s="23"/>
      <c r="Q20" s="23"/>
      <c r="R20" s="23"/>
      <c r="S20" s="23"/>
      <c r="T20" s="23"/>
      <c r="U20" s="23"/>
      <c r="V20" s="23"/>
      <c r="W20" s="23"/>
      <c r="X20" s="23"/>
      <c r="Y20" s="23"/>
      <c r="Z20" s="23"/>
    </row>
    <row r="21">
      <c r="A21" s="22"/>
      <c r="B21" s="22"/>
      <c r="C21" s="22"/>
      <c r="D21" s="22"/>
      <c r="E21" s="22"/>
      <c r="F21" s="23"/>
      <c r="G21" s="23"/>
      <c r="H21" s="23"/>
      <c r="I21" s="23"/>
      <c r="J21" s="23"/>
      <c r="K21" s="23"/>
      <c r="L21" s="23"/>
      <c r="M21" s="23"/>
      <c r="N21" s="23"/>
      <c r="O21" s="23"/>
      <c r="P21" s="23"/>
      <c r="Q21" s="23"/>
      <c r="R21" s="23"/>
      <c r="S21" s="23"/>
      <c r="T21" s="23"/>
      <c r="U21" s="23"/>
      <c r="V21" s="23"/>
      <c r="W21" s="23"/>
      <c r="X21" s="23"/>
      <c r="Y21" s="23"/>
      <c r="Z21" s="23"/>
    </row>
    <row r="22">
      <c r="A22" s="22"/>
      <c r="B22" s="22"/>
      <c r="C22" s="22"/>
      <c r="D22" s="22"/>
      <c r="E22" s="22"/>
      <c r="F22" s="23"/>
      <c r="G22" s="23"/>
      <c r="H22" s="23"/>
      <c r="I22" s="23"/>
      <c r="J22" s="23"/>
      <c r="K22" s="23"/>
      <c r="L22" s="23"/>
      <c r="M22" s="23"/>
      <c r="N22" s="23"/>
      <c r="O22" s="23"/>
      <c r="P22" s="23"/>
      <c r="Q22" s="23"/>
      <c r="R22" s="23"/>
      <c r="S22" s="23"/>
      <c r="T22" s="23"/>
      <c r="U22" s="23"/>
      <c r="V22" s="23"/>
      <c r="W22" s="23"/>
      <c r="X22" s="23"/>
      <c r="Y22" s="23"/>
      <c r="Z22" s="23"/>
    </row>
    <row r="23">
      <c r="A23" s="22"/>
      <c r="B23" s="22"/>
      <c r="C23" s="22"/>
      <c r="D23" s="22"/>
      <c r="E23" s="22"/>
      <c r="F23" s="23"/>
      <c r="G23" s="23"/>
      <c r="H23" s="23"/>
      <c r="I23" s="23"/>
      <c r="J23" s="23"/>
      <c r="K23" s="23"/>
      <c r="L23" s="23"/>
      <c r="M23" s="23"/>
      <c r="N23" s="23"/>
      <c r="O23" s="23"/>
      <c r="P23" s="23"/>
      <c r="Q23" s="23"/>
      <c r="R23" s="23"/>
      <c r="S23" s="23"/>
      <c r="T23" s="23"/>
      <c r="U23" s="23"/>
      <c r="V23" s="23"/>
      <c r="W23" s="23"/>
      <c r="X23" s="23"/>
      <c r="Y23" s="23"/>
      <c r="Z23" s="23"/>
    </row>
    <row r="24">
      <c r="A24" s="22"/>
      <c r="B24" s="22"/>
      <c r="C24" s="22"/>
      <c r="D24" s="22"/>
      <c r="E24" s="22"/>
      <c r="F24" s="23"/>
      <c r="G24" s="23"/>
      <c r="H24" s="23"/>
      <c r="I24" s="23"/>
      <c r="J24" s="23"/>
      <c r="K24" s="23"/>
      <c r="L24" s="23"/>
      <c r="M24" s="23"/>
      <c r="N24" s="23"/>
      <c r="O24" s="23"/>
      <c r="P24" s="23"/>
      <c r="Q24" s="23"/>
      <c r="R24" s="23"/>
      <c r="S24" s="23"/>
      <c r="T24" s="23"/>
      <c r="U24" s="23"/>
      <c r="V24" s="23"/>
      <c r="W24" s="23"/>
      <c r="X24" s="23"/>
      <c r="Y24" s="23"/>
      <c r="Z24" s="23"/>
    </row>
    <row r="25">
      <c r="A25" s="22"/>
      <c r="B25" s="22"/>
      <c r="C25" s="22"/>
      <c r="D25" s="22"/>
      <c r="E25" s="22"/>
      <c r="F25" s="23"/>
      <c r="G25" s="23"/>
      <c r="H25" s="23"/>
      <c r="I25" s="23"/>
      <c r="J25" s="23"/>
      <c r="K25" s="23"/>
      <c r="L25" s="23"/>
      <c r="M25" s="23"/>
      <c r="N25" s="23"/>
      <c r="O25" s="23"/>
      <c r="P25" s="23"/>
      <c r="Q25" s="23"/>
      <c r="R25" s="23"/>
      <c r="S25" s="23"/>
      <c r="T25" s="23"/>
      <c r="U25" s="23"/>
      <c r="V25" s="23"/>
      <c r="W25" s="23"/>
      <c r="X25" s="23"/>
      <c r="Y25" s="23"/>
      <c r="Z25" s="23"/>
    </row>
    <row r="26">
      <c r="A26" s="22"/>
      <c r="B26" s="22"/>
      <c r="C26" s="22"/>
      <c r="D26" s="22"/>
      <c r="E26" s="22"/>
      <c r="F26" s="23"/>
      <c r="G26" s="23"/>
      <c r="H26" s="23"/>
      <c r="I26" s="23"/>
      <c r="J26" s="23"/>
      <c r="K26" s="23"/>
      <c r="L26" s="23"/>
      <c r="M26" s="23"/>
      <c r="N26" s="23"/>
      <c r="O26" s="23"/>
      <c r="P26" s="23"/>
      <c r="Q26" s="23"/>
      <c r="R26" s="23"/>
      <c r="S26" s="23"/>
      <c r="T26" s="23"/>
      <c r="U26" s="23"/>
      <c r="V26" s="23"/>
      <c r="W26" s="23"/>
      <c r="X26" s="23"/>
      <c r="Y26" s="23"/>
      <c r="Z26" s="23"/>
    </row>
    <row r="27">
      <c r="A27" s="22"/>
      <c r="B27" s="22"/>
      <c r="C27" s="22"/>
      <c r="D27" s="22"/>
      <c r="E27" s="22"/>
      <c r="F27" s="23"/>
      <c r="G27" s="23"/>
      <c r="H27" s="23"/>
      <c r="I27" s="23"/>
      <c r="J27" s="23"/>
      <c r="K27" s="23"/>
      <c r="L27" s="23"/>
      <c r="M27" s="23"/>
      <c r="N27" s="23"/>
      <c r="O27" s="23"/>
      <c r="P27" s="23"/>
      <c r="Q27" s="23"/>
      <c r="R27" s="23"/>
      <c r="S27" s="23"/>
      <c r="T27" s="23"/>
      <c r="U27" s="23"/>
      <c r="V27" s="23"/>
      <c r="W27" s="23"/>
      <c r="X27" s="23"/>
      <c r="Y27" s="23"/>
      <c r="Z27" s="23"/>
    </row>
    <row r="28">
      <c r="A28" s="22"/>
      <c r="B28" s="22"/>
      <c r="C28" s="22"/>
      <c r="D28" s="22"/>
      <c r="E28" s="22"/>
      <c r="F28" s="23"/>
      <c r="G28" s="23"/>
      <c r="H28" s="23"/>
      <c r="I28" s="23"/>
      <c r="J28" s="23"/>
      <c r="K28" s="23"/>
      <c r="L28" s="23"/>
      <c r="M28" s="23"/>
      <c r="N28" s="23"/>
      <c r="O28" s="23"/>
      <c r="P28" s="23"/>
      <c r="Q28" s="23"/>
      <c r="R28" s="23"/>
      <c r="S28" s="23"/>
      <c r="T28" s="23"/>
      <c r="U28" s="23"/>
      <c r="V28" s="23"/>
      <c r="W28" s="23"/>
      <c r="X28" s="23"/>
      <c r="Y28" s="23"/>
      <c r="Z28" s="23"/>
    </row>
    <row r="29">
      <c r="A29" s="22"/>
      <c r="B29" s="22"/>
      <c r="C29" s="22"/>
      <c r="D29" s="22"/>
      <c r="E29" s="22"/>
      <c r="F29" s="23"/>
      <c r="G29" s="23"/>
      <c r="H29" s="23"/>
      <c r="I29" s="23"/>
      <c r="J29" s="23"/>
      <c r="K29" s="23"/>
      <c r="L29" s="23"/>
      <c r="M29" s="23"/>
      <c r="N29" s="23"/>
      <c r="O29" s="23"/>
      <c r="P29" s="23"/>
      <c r="Q29" s="23"/>
      <c r="R29" s="23"/>
      <c r="S29" s="23"/>
      <c r="T29" s="23"/>
      <c r="U29" s="23"/>
      <c r="V29" s="23"/>
      <c r="W29" s="23"/>
      <c r="X29" s="23"/>
      <c r="Y29" s="23"/>
      <c r="Z29" s="23"/>
    </row>
    <row r="30">
      <c r="A30" s="22"/>
      <c r="B30" s="22"/>
      <c r="C30" s="22"/>
      <c r="D30" s="22"/>
      <c r="E30" s="22"/>
      <c r="F30" s="23"/>
      <c r="G30" s="23"/>
      <c r="H30" s="23"/>
      <c r="I30" s="23"/>
      <c r="J30" s="23"/>
      <c r="K30" s="23"/>
      <c r="L30" s="23"/>
      <c r="M30" s="23"/>
      <c r="N30" s="23"/>
      <c r="O30" s="23"/>
      <c r="P30" s="23"/>
      <c r="Q30" s="23"/>
      <c r="R30" s="23"/>
      <c r="S30" s="23"/>
      <c r="T30" s="23"/>
      <c r="U30" s="23"/>
      <c r="V30" s="23"/>
      <c r="W30" s="23"/>
      <c r="X30" s="23"/>
      <c r="Y30" s="23"/>
      <c r="Z30" s="23"/>
    </row>
    <row r="31">
      <c r="A31" s="22"/>
      <c r="B31" s="22"/>
      <c r="C31" s="22"/>
      <c r="D31" s="22"/>
      <c r="E31" s="22"/>
      <c r="F31" s="23"/>
      <c r="G31" s="23"/>
      <c r="H31" s="23"/>
      <c r="I31" s="23"/>
      <c r="J31" s="23"/>
      <c r="K31" s="23"/>
      <c r="L31" s="23"/>
      <c r="M31" s="23"/>
      <c r="N31" s="23"/>
      <c r="O31" s="23"/>
      <c r="P31" s="23"/>
      <c r="Q31" s="23"/>
      <c r="R31" s="23"/>
      <c r="S31" s="23"/>
      <c r="T31" s="23"/>
      <c r="U31" s="23"/>
      <c r="V31" s="23"/>
      <c r="W31" s="23"/>
      <c r="X31" s="23"/>
      <c r="Y31" s="23"/>
      <c r="Z31" s="23"/>
    </row>
    <row r="32">
      <c r="A32" s="22"/>
      <c r="B32" s="22"/>
      <c r="C32" s="22"/>
      <c r="D32" s="22"/>
      <c r="E32" s="22"/>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customSheetViews>
    <customSheetView guid="{336F4B0B-97A9-404C-90F5-4B9D7C4C9FCA}" filter="1" showAutoFilter="1">
      <autoFilter ref="$A$1:$E$18"/>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5.0"/>
  </cols>
  <sheetData>
    <row r="2">
      <c r="B2" s="42" t="s">
        <v>16</v>
      </c>
      <c r="C2" s="43">
        <f>Calculating!C2</f>
        <v>1071050</v>
      </c>
      <c r="D2" s="57"/>
    </row>
    <row r="3">
      <c r="B3" s="44"/>
      <c r="C3" s="45"/>
    </row>
    <row r="4">
      <c r="B4" s="42" t="s">
        <v>17</v>
      </c>
      <c r="C4" s="46">
        <f>Calculating!C4</f>
        <v>990047.5714</v>
      </c>
    </row>
    <row r="5">
      <c r="B5" s="44"/>
      <c r="C5" s="45"/>
      <c r="D5" s="59"/>
    </row>
    <row r="6">
      <c r="B6" s="42" t="s">
        <v>19</v>
      </c>
      <c r="C6" s="43">
        <f>Calculating!C8</f>
        <v>862668</v>
      </c>
    </row>
    <row r="7">
      <c r="B7" s="47"/>
      <c r="C7" s="43"/>
    </row>
    <row r="8">
      <c r="B8" s="42" t="s">
        <v>20</v>
      </c>
      <c r="C8" s="43">
        <f>Calculating!C10</f>
        <v>1071050</v>
      </c>
    </row>
    <row r="9">
      <c r="B9" s="47"/>
      <c r="C9" s="43"/>
    </row>
    <row r="10">
      <c r="B10" s="42" t="s">
        <v>21</v>
      </c>
      <c r="C10" s="48">
        <f>Calculating!C12</f>
        <v>208382</v>
      </c>
    </row>
    <row r="11">
      <c r="B11" s="47"/>
      <c r="C11" s="43"/>
    </row>
    <row r="12">
      <c r="B12" s="42" t="s">
        <v>22</v>
      </c>
      <c r="C12" s="49">
        <f>Calculating!C14</f>
        <v>0.2415552681</v>
      </c>
    </row>
    <row r="13">
      <c r="B13" s="44"/>
      <c r="C13" s="45"/>
    </row>
    <row r="14">
      <c r="B14" s="42" t="s">
        <v>23</v>
      </c>
      <c r="C14" s="49">
        <f>Calculating!C16</f>
        <v>0.01452885535</v>
      </c>
    </row>
    <row r="15">
      <c r="B15" s="50"/>
      <c r="C15" s="60"/>
    </row>
    <row r="16">
      <c r="B16" s="51" t="s">
        <v>24</v>
      </c>
      <c r="C16" s="61">
        <f>Calculating!C18</f>
        <v>1329767.77</v>
      </c>
    </row>
  </sheetData>
  <conditionalFormatting sqref="C10">
    <cfRule type="expression" dxfId="1" priority="1">
      <formula>ЕСЛИ</formula>
    </cfRule>
  </conditionalFormatting>
  <drawing r:id="rId1"/>
  <extLst>
    <ext uri="{05C60535-1F16-4fd2-B633-F4F36F0B64E0}">
      <x14:sparklineGroups>
        <x14:sparklineGroup displayEmptyCellsAs="gap">
          <x14:colorSeries rgb="FF333333"/>
          <x14:sparklines>
            <x14:sparkline>
              <xm:f>'Общий капитал'!B2:B18</xm:f>
              <xm:sqref>D2</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3.13"/>
  </cols>
  <sheetData>
    <row r="2">
      <c r="B2" s="42" t="s">
        <v>16</v>
      </c>
      <c r="C2" s="43">
        <f>SUMIFS('Общий капитал'!B2:B1000, 'Общий капитал'!A2:A1000, MAX('Общий капитал'!A2:A1000))</f>
        <v>1071050</v>
      </c>
    </row>
    <row r="3">
      <c r="B3" s="44"/>
      <c r="C3" s="45"/>
    </row>
    <row r="4">
      <c r="B4" s="42" t="s">
        <v>17</v>
      </c>
      <c r="C4" s="46">
        <f>AVERAGE('Общий капитал'!B2:B1000)</f>
        <v>990047.5714</v>
      </c>
    </row>
    <row r="5">
      <c r="B5" s="44"/>
      <c r="C5" s="45"/>
    </row>
    <row r="6">
      <c r="B6" s="42" t="s">
        <v>18</v>
      </c>
      <c r="C6" s="43">
        <f>COUNT('Данные'!B2:B952)/8</f>
        <v>14</v>
      </c>
    </row>
    <row r="7">
      <c r="B7" s="44"/>
      <c r="C7" s="45"/>
    </row>
    <row r="8">
      <c r="B8" s="42" t="s">
        <v>19</v>
      </c>
      <c r="C8" s="43">
        <f>MIN(Сумма_за_периоды)</f>
        <v>862668</v>
      </c>
    </row>
    <row r="9">
      <c r="B9" s="47"/>
      <c r="C9" s="43"/>
    </row>
    <row r="10">
      <c r="B10" s="42" t="s">
        <v>20</v>
      </c>
      <c r="C10" s="43">
        <f>MAX(Сумма_за_периоды)</f>
        <v>1071050</v>
      </c>
    </row>
    <row r="11">
      <c r="B11" s="47"/>
      <c r="C11" s="43"/>
    </row>
    <row r="12">
      <c r="B12" s="42" t="s">
        <v>21</v>
      </c>
      <c r="C12" s="48">
        <f>'Общий капитал'!B15-'Общий капитал'!B2</f>
        <v>208382</v>
      </c>
    </row>
    <row r="13">
      <c r="B13" s="47"/>
      <c r="C13" s="43"/>
    </row>
    <row r="14">
      <c r="B14" s="42" t="s">
        <v>22</v>
      </c>
      <c r="C14" s="49">
        <f>('Общий капитал'!B15/'Общий капитал'!B2)-1</f>
        <v>0.2415552681</v>
      </c>
    </row>
    <row r="15">
      <c r="B15" s="44"/>
      <c r="C15" s="45"/>
    </row>
    <row r="16">
      <c r="B16" s="42" t="s">
        <v>23</v>
      </c>
      <c r="C16" s="49">
        <f>('Общий капитал'!B15/'Общий капитал'!B2)^(1/COUNTA('Общий капитал'!A:A))-1</f>
        <v>0.01452885535</v>
      </c>
    </row>
    <row r="17">
      <c r="B17" s="50"/>
      <c r="C17" s="50"/>
    </row>
    <row r="18">
      <c r="B18" s="51" t="s">
        <v>24</v>
      </c>
      <c r="C18" s="52">
        <f>C2*(1+C14)</f>
        <v>1329767.77</v>
      </c>
    </row>
  </sheetData>
  <conditionalFormatting sqref="C12">
    <cfRule type="expression" dxfId="1" priority="1">
      <formula>ЕСЛИ</formula>
    </cfRule>
  </conditionalFormatting>
  <drawing r:id="rId1"/>
</worksheet>
</file>